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oumahdih\Desktop\Transfert\Archive Bureau\Work\DN\IT\LYFE APP\20251201\"/>
    </mc:Choice>
  </mc:AlternateContent>
  <xr:revisionPtr revIDLastSave="0" documentId="13_ncr:1_{65C1E7D0-6B78-455F-9620-5ECA8FEAEC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ynthèse" sheetId="2" r:id="rId1"/>
    <sheet name="Spécifications Chiffrage Dét." sheetId="1" r:id="rId2"/>
  </sheets>
  <definedNames>
    <definedName name="_xlnm._FilterDatabase" localSheetId="1" hidden="1">'Spécifications Chiffrage Dét.'!$A$1:$Q$88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2" l="1"/>
  <c r="C12" i="2"/>
  <c r="D12" i="2"/>
  <c r="E12" i="2"/>
  <c r="C14" i="2"/>
  <c r="C15" i="2" s="1"/>
  <c r="C19" i="2" s="1"/>
  <c r="D14" i="2"/>
  <c r="D15" i="2" s="1"/>
  <c r="D19" i="2" s="1"/>
  <c r="E13" i="2"/>
  <c r="E14" i="2"/>
  <c r="D11" i="2"/>
  <c r="E11" i="2"/>
  <c r="C11" i="2"/>
  <c r="B26" i="2"/>
  <c r="B28" i="2"/>
  <c r="O79" i="1"/>
  <c r="O53" i="1"/>
  <c r="O40" i="1"/>
  <c r="O38" i="1"/>
  <c r="O14" i="1"/>
  <c r="O12" i="1"/>
  <c r="O73" i="1"/>
  <c r="O74" i="1"/>
  <c r="O75" i="1"/>
  <c r="O76" i="1"/>
  <c r="O77" i="1"/>
  <c r="O78" i="1"/>
  <c r="O80" i="1"/>
  <c r="O81" i="1"/>
  <c r="O82" i="1"/>
  <c r="O83" i="1"/>
  <c r="O84" i="1"/>
  <c r="O85" i="1"/>
  <c r="O86" i="1"/>
  <c r="O87" i="1"/>
  <c r="O88" i="1"/>
  <c r="O3" i="1"/>
  <c r="O4" i="1"/>
  <c r="O5" i="1"/>
  <c r="O6" i="1"/>
  <c r="O7" i="1"/>
  <c r="O8" i="1"/>
  <c r="O9" i="1"/>
  <c r="O10" i="1"/>
  <c r="O11" i="1"/>
  <c r="O13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9" i="1"/>
  <c r="O41" i="1"/>
  <c r="O42" i="1"/>
  <c r="O43" i="1"/>
  <c r="O44" i="1"/>
  <c r="O45" i="1"/>
  <c r="O46" i="1"/>
  <c r="O47" i="1"/>
  <c r="O48" i="1"/>
  <c r="O49" i="1"/>
  <c r="O50" i="1"/>
  <c r="O51" i="1"/>
  <c r="O52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2" i="1"/>
  <c r="B19" i="2" l="1"/>
  <c r="B9" i="2"/>
  <c r="B29" i="2" l="1"/>
  <c r="B33" i="2" s="1"/>
  <c r="B13" i="2"/>
  <c r="B12" i="2"/>
  <c r="B11" i="2"/>
  <c r="B14" i="2" l="1"/>
  <c r="B15" i="2" s="1"/>
</calcChain>
</file>

<file path=xl/sharedStrings.xml><?xml version="1.0" encoding="utf-8"?>
<sst xmlns="http://schemas.openxmlformats.org/spreadsheetml/2006/main" count="1101" uniqueCount="702">
  <si>
    <t>Catégorie</t>
  </si>
  <si>
    <t>Écran/Composant</t>
  </si>
  <si>
    <t>Type</t>
  </si>
  <si>
    <t>Fonctionnalité</t>
  </si>
  <si>
    <t>Boutons/Actions</t>
  </si>
  <si>
    <t>Flow Utilisateur</t>
  </si>
  <si>
    <t>Endpoints Backend (FastAPI)</t>
  </si>
  <si>
    <t>Microservice</t>
  </si>
  <si>
    <t>Collections PostgreSQL</t>
  </si>
  <si>
    <t>Champs Principaux</t>
  </si>
  <si>
    <t>Estimation FE (j)</t>
  </si>
  <si>
    <t>Estimation BE (j)</t>
  </si>
  <si>
    <t>Estimation DB (j)</t>
  </si>
  <si>
    <t>Complexité</t>
  </si>
  <si>
    <t>Notes Techniques</t>
  </si>
  <si>
    <t>ONBOARDING</t>
  </si>
  <si>
    <t>Splash Screen</t>
  </si>
  <si>
    <t>Écran</t>
  </si>
  <si>
    <t>Animation démarrage - Carte Casablanca → Logo LYFE → Signe paix</t>
  </si>
  <si>
    <t>Aucun bouton interactif</t>
  </si>
  <si>
    <t>Ouverture app → Animation 3sec → Redirection auto vers Auth</t>
  </si>
  <si>
    <t>GET /api/config/splash
GET /api/assets/animation</t>
  </si>
  <si>
    <t>Assets Service</t>
  </si>
  <si>
    <t>app_config</t>
  </si>
  <si>
    <t>animation_url, version, duration_ms</t>
  </si>
  <si>
    <t>Simple</t>
  </si>
  <si>
    <t>Animation Lottie/JSON, preload assets</t>
  </si>
  <si>
    <t>AUTHENTICATION</t>
  </si>
  <si>
    <t>Login/Signup</t>
  </si>
  <si>
    <t>Système authentification complet avec biométrie et consentements</t>
  </si>
  <si>
    <t>Connexion par Email/Password
Face ID
Connexion Sociale (Google/Facebook/Apple)
Se souvenir de moi
Continuer en invité
S'inscrire
Mot de passe oublié</t>
  </si>
  <si>
    <t>Landing → Choix auth → Email/Social/Guest → Consentements → Vérification → Dashboard
Flow invité: accès limité (lecture seule, pas de booking)</t>
  </si>
  <si>
    <t>POST /api/auth/register {email, password, consents}
POST /api/auth/login {email, password}
POST /api/auth/social {provider, token}
POST /api/auth/biometric {device_id, biometric_token}
POST /api/auth/guest → session temporaire
POST /api/auth/verify-email {token}
POST /api/auth/forgot-password {email}
GET /api/auth/me</t>
  </si>
  <si>
    <t>Auth Service</t>
  </si>
  <si>
    <t>users, user_sessions, user_consents, user_devices</t>
  </si>
  <si>
    <t>email, password_hash, phone, full_name, date_of_birth, location, marketing_consent, data_consent, location_consent, biometric_enabled, social_provider, device_fingerprint, email_verified, created_at</t>
  </si>
  <si>
    <t>Complexe</t>
  </si>
  <si>
    <t>OAuth2 + JWT, Argon2 password hashing, rate limiting, 2FA optional, GDPR compliance</t>
  </si>
  <si>
    <t>Consentements</t>
  </si>
  <si>
    <t>Fonctionnalité cachée</t>
  </si>
  <si>
    <t>Collecte permissions marketing et données</t>
  </si>
  <si>
    <t>Accepter tout
Personnaliser
Cases individuelles: Marketing, Localisation, Données comportementales, Notifications Push</t>
  </si>
  <si>
    <t>Inscription → Modal consentements → Détails pourquoi important → Validation → Compte créé</t>
  </si>
  <si>
    <t>POST /api/users/{id}/consents {consents_array}
GET /api/legal/privacy-policy
GET /api/legal/terms</t>
  </si>
  <si>
    <t>user_consents</t>
  </si>
  <si>
    <t>user_id, consent_type, granted, timestamp, ip_address, version</t>
  </si>
  <si>
    <t>Moyen</t>
  </si>
  <si>
    <t>GDPR/CCPA compliant, versioning des consentements, audit trail</t>
  </si>
  <si>
    <t>NAVIGATION</t>
  </si>
  <si>
    <t>Menu Principal</t>
  </si>
  <si>
    <t>Hub navigation 3 catégories</t>
  </si>
  <si>
    <t>Restaurants
Drinks
Events
Logo LYFE (retour home)</t>
  </si>
  <si>
    <t>Dashboard → Sélection catégorie → Feed filtré par catégorie
Navigation persistante en footer</t>
  </si>
  <si>
    <t>GET /api/categories</t>
  </si>
  <si>
    <t>Content Service</t>
  </si>
  <si>
    <t>categories</t>
  </si>
  <si>
    <t>name, icon, description, order, active</t>
  </si>
  <si>
    <t>Deep linking vers chaque catégorie</t>
  </si>
  <si>
    <t>Bottom Navigation</t>
  </si>
  <si>
    <t>Layout</t>
  </si>
  <si>
    <t>Barre navigation principale</t>
  </si>
  <si>
    <t>Feed
Search
+ (Action rapide)
My Bookings
Profile</t>
  </si>
  <si>
    <t>Accessible depuis tous les écrans principaux
+ ouvre quick actions: Nouvelle réservation, Partager lieu, Ajouter photo</t>
  </si>
  <si>
    <t>Aucun endpoint dédié</t>
  </si>
  <si>
    <t>N/A</t>
  </si>
  <si>
    <t>Tab navigation React Native, badge notifications sur Bookings</t>
  </si>
  <si>
    <t>FEED</t>
  </si>
  <si>
    <t>Feed Principal</t>
  </si>
  <si>
    <t>Hub social avec posts utilisateurs et recommandations</t>
  </si>
  <si>
    <t>Pull to refresh
Like/Unlike post
Commenter
Partager
Sauvegarder lieu
Voir profil auteur
Filtres (Distance, Note, Prix, Cuisine)
Segmented control: Feed / Your List / Leaderboard</t>
  </si>
  <si>
    <t>Home → Feed chargé → Scroll infini → Engagement (like/comment/share) → Détail lieu
Analytics: Tous les clics, scrolls, temps passé par post</t>
  </si>
  <si>
    <t>GET /api/feed?user_id=&amp;page=&amp;filters=
POST /api/feed/posts
GET /api/feed/posts/{id}
POST /api/posts/{id}/like
DELETE /api/posts/{id}/like
POST /api/posts/{id}/comment {text}
GET /api/posts/{id}/comments
POST /api/posts/{id}/share</t>
  </si>
  <si>
    <t>Social Service</t>
  </si>
  <si>
    <t>posts, post_likes, post_comments, post_shares, user_feed_views</t>
  </si>
  <si>
    <t>post_id, user_id, venue_id, content, media_urls, likes_count, comments_count, shares_count, timestamp, location_lat, location_lng</t>
  </si>
  <si>
    <t>Algorithme de ranking feed (engagement + recency + preferences), infinite scroll, image compression, CDN pour media</t>
  </si>
  <si>
    <t>Stories Carousel</t>
  </si>
  <si>
    <t>Composant</t>
  </si>
  <si>
    <t>Stories 24h type Instagram/Snapchat</t>
  </si>
  <si>
    <t>Voir story
Créer story (+ bouton)
Story suivante (tap droite)
Story précédente (tap gauche)
Fermer
Partager story</t>
  </si>
  <si>
    <t>Feed → Carousel stories en haut → Tap story → Fullscreen viewer → Swipe stories → Expire 24h</t>
  </si>
  <si>
    <t>GET /api/stories?active=true
POST /api/stories {media, venue_id, duration}
GET /api/stories/{id}
POST /api/stories/{id}/view
DELETE /api/stories/{id}</t>
  </si>
  <si>
    <t>stories</t>
  </si>
  <si>
    <t>story_id, user_id, venue_id, media_url, created_at, expires_at, views_count, story_type</t>
  </si>
  <si>
    <t>Compression video/image, expiration automatique, analytics de vues</t>
  </si>
  <si>
    <t>Post Creation</t>
  </si>
  <si>
    <t>Créer nouveau post avec photo/vidéo</t>
  </si>
  <si>
    <t>Choisir photo/vidéo
Tag lieu (autocomplete)
Ajouter texte/émojis
Publier
Sauvegarder brouillon</t>
  </si>
  <si>
    <t>+ Button → Modal création → Upload media → Tag venue → Caption → Publish
Compression avant upload</t>
  </si>
  <si>
    <t>POST /api/posts {media, venue_id, content, location}
GET /api/venues/search?q= (autocomplete tag)
POST /api/media/upload</t>
  </si>
  <si>
    <t>posts</t>
  </si>
  <si>
    <t>user_id, venue_id, content, media_urls, location, created_at</t>
  </si>
  <si>
    <t>Media upload S3/CloudFlare, compression client-side, moderation queue</t>
  </si>
  <si>
    <t>DISCOVERY</t>
  </si>
  <si>
    <t>Restaurants List</t>
  </si>
  <si>
    <t>Listing restaurants avec filtres avancés</t>
  </si>
  <si>
    <t>Voir détail restaurant
Filtrer (Cuisine, Prix, Distance, Note, Ouvert maintenant)
Trier (Pertinence, Distance, Note, Prix)
Sauvegarder favori
Partager
Réserver (quick action)</t>
  </si>
  <si>
    <t>Restaurants tab → Liste avec cards → Filtres → Tri → Tap card → Détail restaurant
Analytics: Filtres utilisés, tris, clics, scroll depth</t>
  </si>
  <si>
    <t>GET /api/venues/restaurants?city=&amp;cuisine=&amp;price=&amp;rating=&amp;distance=&amp;open_now=&amp;sort=&amp;page=
GET /api/venues/restaurants/{id}
POST /api/users/{id}/favorites {venue_id}
DELETE /api/users/{id}/favorites/{venue_id}</t>
  </si>
  <si>
    <t>Venue Service</t>
  </si>
  <si>
    <t>restaurants, restaurant_cuisines, restaurant_amenities, user_favorites</t>
  </si>
  <si>
    <t>venue_id, name, cuisine_type, price_level, rating, location, phone, website, opening_hours, capacity, images, description</t>
  </si>
  <si>
    <t>Elasticsearch pour recherche full-text, PostGIS pour geo-queries, Redis cache, index composites</t>
  </si>
  <si>
    <t>Drinks/Bars List</t>
  </si>
  <si>
    <t>Listing bars et lounges avec catégories</t>
  </si>
  <si>
    <t>Filtrer par type: Bar, Rooftop, Wine Bar, Cocktail Lounge
Voir détail bar
Réserver table
Sauvegarder
Voir happy hours
Partager</t>
  </si>
  <si>
    <t>Drinks tab → Catégories → Liste bars → Filtres → Détail
Analytics identiques restaurants</t>
  </si>
  <si>
    <t>GET /api/venues/drinks?type=&amp;city=&amp;filters=
GET /api/venues/drinks/{id}
GET /api/venues/{id}/happy-hours</t>
  </si>
  <si>
    <t>drinks_venues</t>
  </si>
  <si>
    <t>venue_id, bar_type, specialties, happy_hour_times, ambiance_tags, dress_code, music_genre</t>
  </si>
  <si>
    <t>Même infra que restaurants, filtres spécifiques drinks</t>
  </si>
  <si>
    <t>Events List</t>
  </si>
  <si>
    <t>Listing événements avec billetterie</t>
  </si>
  <si>
    <t>Filtrer: Concerts, Festivals, Nightlife, Culture, Sports, Workshops
Acheter billets
RSVP gratuit
Intéressé (remind me)
Partager événement
Voir capacité restante</t>
  </si>
  <si>
    <t>Events tab → Liste → Filtres date/type → Tap event → Détail → Ticket selection → Checkout
Analytics: Clics tickets, abandons panier, conversions</t>
  </si>
  <si>
    <t>GET /api/events?type=&amp;date_from=&amp;date_to=&amp;city=&amp;price_min=&amp;price_max=
GET /api/events/{id}
POST /api/events/{id}/interested
POST /api/events/{id}/rsvp
GET /api/events/{id}/tickets
POST /api/tickets/reserve {event_id, quantity, ticket_type}</t>
  </si>
  <si>
    <t>Events Service</t>
  </si>
  <si>
    <t>events, event_tickets, event_categories, event_rsvps, ticket_inventory</t>
  </si>
  <si>
    <t>event_id, title, description, venue_id, date_time, capacity, tickets_available, price, category, images, organizer_id</t>
  </si>
  <si>
    <t>Inventory management temps réel, race condition handling, webhook intégration paiement</t>
  </si>
  <si>
    <t>BOOKING</t>
  </si>
  <si>
    <t>Booking Flow Restaurant</t>
  </si>
  <si>
    <t>Flow</t>
  </si>
  <si>
    <t>Sélectionner nombre invités (+/-)
Choisir date (calendrier)
Choisir heure (slots disponibles)
Demandes spéciales (textarea)
Code promo
Confirmer réservation
Annuler</t>
  </si>
  <si>
    <t>Détail restaurant → Réserver → Step 1: Invités → Step 2: Date → Step 3: Heure → Step 4: Spécial requests → Step 5: Confirmation
Validation disponibilité à chaque step</t>
  </si>
  <si>
    <t>POST /api/bookings/check-availability {venue_id, date, time, guests}
POST /api/bookings {venue_id, date, time, guests, special_requests, promo_code}
GET /api/bookings/{id}
PUT /api/bookings/{id} (modifier)
PUT /api/bookings/{id}/cancel
POST /api/bookings/{id}/confirm</t>
  </si>
  <si>
    <t>Booking Service</t>
  </si>
  <si>
    <t>bookings, booking_slots, venue_availability, promo_codes</t>
  </si>
  <si>
    <t>booking_id, user_id, venue_id, booking_date, booking_time, guests_count, special_requests, status, booking_reference, qr_code, promo_code, points_earned, created_at</t>
  </si>
  <si>
    <t>Stepper UI, validation temps réel disponibilité, génération QR code, push notifications confirmation, rate limiting anti-spam</t>
  </si>
  <si>
    <t>Booking Flow Event</t>
  </si>
  <si>
    <t>Achat billets événement avec sélection type/quantité</t>
  </si>
  <si>
    <t>Sélectionner type billet (VIP, Standard, Early Bird)
Quantité par type (+/-)
Voir prix total
Code promo
Conditions générales (checkbox)
Payer / Réserver</t>
  </si>
  <si>
    <t>Détail event → Get Tickets → Sélection type/qty → Récap prix → Paiement → Confirmation
Lock temporaire tickets (10min) pendant checkout</t>
  </si>
  <si>
    <t>POST /api/events/{id}/tickets/lock {ticket_types, quantities}
POST /api/bookings/event {event_id, tickets, payment_method, promo_code}
POST /api/payments/process (Stripe/Mollie)
POST /api/payments/webhook
GET /api/bookings/event/{id}</t>
  </si>
  <si>
    <t>Booking Service + Payment Service</t>
  </si>
  <si>
    <t>event_bookings, event_tickets_purchased, ticket_locks, payments</t>
  </si>
  <si>
    <t>booking_id, event_id, user_id, tickets_json, total_price, payment_status, payment_id, confirmation_code, qr_codes</t>
  </si>
  <si>
    <t>Stripe/Mollie SDK, webhook handling, ticket locking (Redis), inventory race conditions, refund logic, email tickets PDF</t>
  </si>
  <si>
    <t>Check Availability</t>
  </si>
  <si>
    <t>Vérification disponibilité temps réel</t>
  </si>
  <si>
    <t>Aucun bouton visible
Requête auto lors sélection date/heure</t>
  </si>
  <si>
    <t>Transparent pour utilisateur, requis avant confirmation
Cache résultats 30sec pour même slot</t>
  </si>
  <si>
    <t>GET /api/bookings/availability?venue_id=&amp;date=&amp;time=&amp;guests=
Response: {available: boolean, alternative_slots: []}</t>
  </si>
  <si>
    <t>venue_availability</t>
  </si>
  <si>
    <t>venue_id, date, time_slot, capacity, booked_count, available_count</t>
  </si>
  <si>
    <t>Redis cache, algorithme matching alternatives, considérer no-shows historiques</t>
  </si>
  <si>
    <t>MY BOOKINGS</t>
  </si>
  <si>
    <t>Bookings List</t>
  </si>
  <si>
    <t>Liste réservations active/passées</t>
  </si>
  <si>
    <t>Onglets: Active / Past
Filtrer par: Restaurant/Event/Drinks, Statut, Date
Voir détail réservation
Modifier réservation
Annuler réservation
Directions
Appeler venue
Partager booking
Ajouter au calendrier
Noter maintenant (si past)</t>
  </si>
  <si>
    <t>My Bookings tab → Liste segmentée → Tap booking → Détail → Actions contextuelles
Push notification 2h avant: Rappel + directions</t>
  </si>
  <si>
    <t>GET /api/bookings?user_id=&amp;status=&amp;type=&amp;page=
GET /api/bookings/{id}
PUT /api/bookings/{id}/modify
PUT /api/bookings/{id}/cancel
POST /api/bookings/{id}/share</t>
  </si>
  <si>
    <t>bookings</t>
  </si>
  <si>
    <t>booking_id, user_id, venue_id, event_id, status, booking_reference, qr_code, date_time, guests, special_requests, rating_submitted, created_at, updated_at</t>
  </si>
  <si>
    <t>Calendar integration (iCal), deep links directions, QR code display, status sync temps réel</t>
  </si>
  <si>
    <t>Booking Confirmation</t>
  </si>
  <si>
    <t>Écran confirmation post-booking</t>
  </si>
  <si>
    <t>Terminé / Partager
Ajouter au calendrier
Voir QR code (fullscreen)
Télécharger reçu/billet
Directions</t>
  </si>
  <si>
    <t>Après confirmation booking → Écran success → Points gagnés affiché → Actions
Email/SMS confirmation automatique</t>
  </si>
  <si>
    <t>GET /api/bookings/{id}/confirmation
GET /api/bookings/{id}/qr-code
GET /api/bookings/{id}/receipt.pdf
POST /api/bookings/{id}/send-confirmation {method: email/sms}</t>
  </si>
  <si>
    <t>Booking Service + Notification Service</t>
  </si>
  <si>
    <t>booking_reference, qr_code, receipt_url, calendar_link</t>
  </si>
  <si>
    <t>Génération PDF, envoi email async (queue), deep link calendar</t>
  </si>
  <si>
    <t>RATING</t>
  </si>
  <si>
    <t>Rating Flow</t>
  </si>
  <si>
    <t>Notation restaurant après visite</t>
  </si>
  <si>
    <t>Sentiment rapide: 😊 J'ai aimé / 😐 C'était correct / 😞 Je n'ai pas aimé
Comparables: Meilleur/Pire/Identique vs 3 autres
Catégories détaillées: Service, Hygiène, Ambiance, Nourriture, Rapport qualité-prix (1-5⭐)
Commentaire (optionnel)
Photos (optionnel)
Publier / Passer</t>
  </si>
  <si>
    <t>Push 1-2h après créneau → Modal rating → Step 1: Sentiment → Step 2: Comparables → Step 3: Détails optionnels → Publication
Formule: Score = Base (😊=9, 😐=6.5, 😞=4) + Ajustements comparables</t>
  </si>
  <si>
    <t>POST /api/ratings {booking_id, sentiment, comparables, categories, comment, photos}
GET /api/venues/{id}/comparable-venues
PUT /api/bookings/{id}/rating-submitted
GET /api/ratings/{id}
PUT /api/venues/{id}/aggregate-rating</t>
  </si>
  <si>
    <t>Rating Service</t>
  </si>
  <si>
    <t>venue_ratings, rating_comparables, rating_categories</t>
  </si>
  <si>
    <t>rating_id, user_id, venue_id, booking_id, sentiment_score, final_score, service_rating, hygiene_rating, ambiance_rating, food_rating, value_rating, comment, photos, helpful_count, created_at</t>
  </si>
  <si>
    <t>Algorithme scoring pondéré, ranking comparables (même cuisine + proximité + notes utilisateur), agrégation rating venue (moyenne pondérée), moderation IA commentaires</t>
  </si>
  <si>
    <t>Rating Display</t>
  </si>
  <si>
    <t>Affichage ratings sur pages venues</t>
  </si>
  <si>
    <t>Voir toutes les notes
Filtrer par note (5⭐, 4⭐...)
Trier: Plus récentes, Plus utiles, Note haute/basse
Marquer utile
Signaler abus</t>
  </si>
  <si>
    <t>Page venue → Section reviews → Liste ratings → Filtres/tri → Tap rating → Détail full
Analytics: Taux lecture reviews, filtres utilisés</t>
  </si>
  <si>
    <t>GET /api/venues/{id}/ratings?sort=&amp;filter_rating=&amp;page=
POST /api/ratings/{id}/helpful
POST /api/ratings/{id}/report {reason}</t>
  </si>
  <si>
    <t>venue_ratings</t>
  </si>
  <si>
    <t>rating_id, helpful_count, reported, verified_visit</t>
  </si>
  <si>
    <t>Badge 'Verified Visit' si rating lié booking, anti-spam helpful, moderation reports</t>
  </si>
  <si>
    <t>PROFILE</t>
  </si>
  <si>
    <t>User Profile</t>
  </si>
  <si>
    <t>Profil utilisateur public/privé</t>
  </si>
  <si>
    <t>Éditer profil
Changer photo
Suivre / Ne plus suivre
Partager profil
Onglets: Posts, Reviews, Bookings (si soi-même), Lists
Voir badges
Voir statistiques: Restaurants visités, Reviews écrites, Followers, Following
Paramètres (si soi-même): Confidentialité, Notifications, Déconnexion</t>
  </si>
  <si>
    <t>Profile tab → Voir profil → Éditer (si soi) / Suivre (si autre) → Onglets contenu
Settings: Privacy (Public/Friends/Private), Notif preferences</t>
  </si>
  <si>
    <t>GET /api/users/{id}
PUT /api/users/{id} {name, bio, avatar, location}
POST /api/users/{id}/follow
DELETE /api/users/{id}/unfollow
GET /api/users/{id}/followers
GET /api/users/{id}/following
GET /api/users/{id}/stats
GET /api/users/{id}/posts
GET /api/users/{id}/reviews
POST /api/media/upload (avatar)</t>
  </si>
  <si>
    <t>User Service</t>
  </si>
  <si>
    <t>users, user_follows, user_stats, user_privacy_settings</t>
  </si>
  <si>
    <t>user_id, name, username, bio, avatar_url, location, restaurants_visited, reviews_count, followers_count, following_count, influence_score, badges, privacy_level, notification_preferences</t>
  </si>
  <si>
    <t>Image upload S3, username unique validation, influence score algo (engagement + reach), badge system, privacy controls granulaires</t>
  </si>
  <si>
    <t>Settings</t>
  </si>
  <si>
    <t>Paramètres compte et préférences</t>
  </si>
  <si>
    <t>Infos personnelles (nom, email, téléphone, date naissance)
Confidentialité: Profil Public/Friends/Private, Masquer activité
Notifications: Push, Email, SMS (toggle chacune)
Préférences culinaires &amp; allergies
Langue &amp; région
Déconnexion
Supprimer compte</t>
  </si>
  <si>
    <t>Profile → Settings icon → Sections settings → Modifications → Sauvegarder
Suppression compte: Modal confirmation + délai 30j</t>
  </si>
  <si>
    <t>PUT /api/users/{id}/settings {settings_json}
PUT /api/users/{id}/preferences {cuisines, allergies}
PUT /api/users/{id}/privacy {privacy_settings}
POST /api/auth/logout
DELETE /api/users/{id}/delete-request</t>
  </si>
  <si>
    <t>user_settings</t>
  </si>
  <si>
    <t>user_id, privacy_settings, notification_preferences, dietary_preferences, language, region</t>
  </si>
  <si>
    <t>GDPR right to be forgotten, soft delete avec anonymisation données, email confirmation changements critiques</t>
  </si>
  <si>
    <t>LOYALTY</t>
  </si>
  <si>
    <t>Loyalty Program</t>
  </si>
  <si>
    <t>Programme fidélité gamifié</t>
  </si>
  <si>
    <t>Dashboard points: Total, Ce mois, Lifetime, Expirant
Voir niveau actuel (Standard/Gold/Platinum/Diamond)
Barre progression niveau suivant
Historique transactions
Récompenses disponibles
Échanger points → Réduction/Coupon
Règles du programme</t>
  </si>
  <si>
    <t>Profile → Loyalty → Dashboard → Échanger points / Voir historique
Points gagnés automatiquement après booking confirmé + check-in QR vérifié</t>
  </si>
  <si>
    <t>GET /api/loyalty/dashboard?user_id=
GET /api/loyalty/transactions?user_id=
GET /api/loyalty/rewards?user_id=
POST /api/loyalty/redeem {reward_id}
GET /api/loyalty/tiers</t>
  </si>
  <si>
    <t>Loyalty Service</t>
  </si>
  <si>
    <t>loyalty_accounts, loyalty_transactions, loyalty_rewards, loyalty_tiers</t>
  </si>
  <si>
    <t>account_id, user_id, total_points, current_tier, points_this_month, lifetime_points, expiring_points, tier_multiplier</t>
  </si>
  <si>
    <t>Calcul points avec multiplicateurs tiers, expiration points (2 ans), dégradation tier automatique, génération coupons uniques, webhook restaurants pour validation coupons</t>
  </si>
  <si>
    <t>Points Earning</t>
  </si>
  <si>
    <t>Gagnage points automatique</t>
  </si>
  <si>
    <t>Aucune action utilisateur
Automatique après booking validé</t>
  </si>
  <si>
    <t>Booking confirmé → User check-in (QR scan ou auto 15min après heure) → Points calculés (base × multiplicateur tier) → Notification '+X points gagnés!'
No-show détecté → Aucun point + pénalité potentielle</t>
  </si>
  <si>
    <t>POST /api/loyalty/award-points {booking_id, user_id}
POST /api/bookings/{id}/check-in {qr_code / auto}
POST /api/bookings/{id}/no-show</t>
  </si>
  <si>
    <t>Loyalty Service + Booking Service</t>
  </si>
  <si>
    <t>loyalty_transactions</t>
  </si>
  <si>
    <t>transaction_id, user_id, booking_id, points_earned, tier_multiplier, transaction_type, created_at</t>
  </si>
  <si>
    <t>QR validation côté restaurant (app partenaire), auto check-in si booking &lt; 15min début, détection no-show (restaurant signale), rollback points si annulation post check-in</t>
  </si>
  <si>
    <t>LEADERBOARD</t>
  </si>
  <si>
    <t>Leaderboard</t>
  </si>
  <si>
    <t>Classement communautaire amis</t>
  </si>
  <si>
    <t>Onglets: Top Explorateurs (par défaut), Notes Contacts
Classement amis par: Lieux visités, Reviews écrites, Utilité reviews
Voir profil ami
Ajouter ami (téléphone/email)
Accepter/Refuser demande ami
Activité récente amis</t>
  </si>
  <si>
    <t>Leaderboard tab → Top Explorateurs → Liste amis triée → Tap ami → Profil
Demande ami: Search contact → Envoyer → Notification → Accepter/Refuser</t>
  </si>
  <si>
    <t>GET /api/leaderboard/friends?user_id=&amp;sort=visits|reviews|helpful
GET /api/users/{id}/friends
POST /api/users/{id}/friend-requests {contact}
PUT /api/friend-requests/{id}/accept
PUT /api/friend-requests/{id}/reject
GET /api/users/{id}/activity-feed</t>
  </si>
  <si>
    <t>user_friends, friend_requests, user_activity_feed</t>
  </si>
  <si>
    <t>friendship_id, user_id, friend_id, status, requested_at, accepted_at, activity_id, activity_type, venue_id, timestamp</t>
  </si>
  <si>
    <t>Contact sync permission, ranking algo (tiebreakers multiples), real-time activity feed (WebSocket ou polling), notification système demandes</t>
  </si>
  <si>
    <t>Community Posts</t>
  </si>
  <si>
    <t>Posts communautaires liés classement</t>
  </si>
  <si>
    <t>Notification: 'Partager expérience avec amis?' 15-30min après début booking
Ajouter photo/story/avis rapide
Post visible dans feed amis</t>
  </si>
  <si>
    <t>Post-booking (15-30min) → Push notif → Modal quick post → Photo/caption → Publier → Apparaît feed amis + attaché venue page
Analytics: Taux réponse notif, engagement posts</t>
  </si>
  <si>
    <t>POST /api/community/posts {booking_id, content, media}
GET /api/community/feed?user_id= (feed amis)
POST /api/posts/{id}/like
POST /api/posts/{id}/comment</t>
  </si>
  <si>
    <t>community_posts</t>
  </si>
  <si>
    <t>post_id, user_id, booking_id, venue_id, content, media_url, created_at, visibility</t>
  </si>
  <si>
    <t>Timing intelligent notification (pas spam), compression media, visibilité posts (friends-only), lien venue page</t>
  </si>
  <si>
    <t>LISTS</t>
  </si>
  <si>
    <t>Saved Places</t>
  </si>
  <si>
    <t>Listes de lieux sauvegardés</t>
  </si>
  <si>
    <t>Onglets: Saved, Visited, Wishlist
Créer liste personnalisée
Ajouter lieu à liste
Retirer de liste
Partager liste
Trier: Date ajout, Nom, Note
Filtrer: Type (Restaurant/Drink/Event), Ville</t>
  </si>
  <si>
    <t>Profile → Lists → Onglets → Tap lieu → Détail
Créer liste: + → Nom liste → Ajouter lieux → Publique/Privée
Analytics: Conversion wishlist→visite, fréquence consultation</t>
  </si>
  <si>
    <t>GET /api/lists?user_id=
POST /api/lists {name, description, public}
GET /api/lists/{id}/venues
POST /api/lists/{id}/venues {venue_id}
DELETE /api/lists/{id}/venues/{venue_id}
POST /api/lists/{id}/share</t>
  </si>
  <si>
    <t>user_lists</t>
  </si>
  <si>
    <t>list_id, user_id, name, description, public, created_at, venue_list_items</t>
  </si>
  <si>
    <t>Listes prédéfinies: Saved, Visited (auto), Wishlist, listes custom, partage listes (deeplink + preview), analytics conversion</t>
  </si>
  <si>
    <t>Visited History</t>
  </si>
  <si>
    <t>Historique visites automatique</t>
  </si>
  <si>
    <t>Aucune action manuelle
Auto-ajouté après check-in booking</t>
  </si>
  <si>
    <t>Booking check-in validé → Ajout automatique liste 'Visited' → Badge 'Visited' sur venue page pour user
Analytics: Fréquence visites, patterns (jour/heure), revisites</t>
  </si>
  <si>
    <t>POST /api/lists/visited/add {user_id, venue_id, booking_id, visit_date}
GET /api/users/{id}/visit-history
GET /api/analytics/user-patterns?user_id=</t>
  </si>
  <si>
    <t>User Service + Analytics Service</t>
  </si>
  <si>
    <t>user_visit_history</t>
  </si>
  <si>
    <t>visit_id, user_id, venue_id, booking_id, visit_date, visit_count</t>
  </si>
  <si>
    <t>Auto-tracking visites, analytics patterns (ML), badge visited sur UI, recommendations basées historique</t>
  </si>
  <si>
    <t>SEARCH</t>
  </si>
  <si>
    <t>Global Search</t>
  </si>
  <si>
    <t>Recherche unifiée multi-entités</t>
  </si>
  <si>
    <t>Barre recherche avec suggestions temps réel
Filtres: All, Restaurants, Bars, Events, Members
Filtres avancés (modal): Prix, Note, Distance, Cuisine, Open Now
Trier: Pertinence, Distance, Note, Prix
Recherche vocale
Recherche par photo (future)</t>
  </si>
  <si>
    <t>Tap search → Saisie query → Suggestions dropdown → Résultats mixtes → Filtres → Détail
Analytics: Tous termes, filtres, clics, abandon, conversion</t>
  </si>
  <si>
    <t>GET /api/search?q=&amp;type=&amp;filters=&amp;sort=&amp;page=
GET /api/search/suggestions?q= (autocomplete)
POST /api/search/voice {audio_file}
POST /api/analytics/search-event {query, filters, results_count, clicked_result}</t>
  </si>
  <si>
    <t>Search Service + Analytics Service</t>
  </si>
  <si>
    <t>search_logs</t>
  </si>
  <si>
    <t>search_id, user_id, query, filters, results_count, clicked_result_id, location, timestamp</t>
  </si>
  <si>
    <t>Elasticsearch full-text search, typo tolerance, synonymes, boost popularité, PostGIS geo-search, voice-to-text, search analytics ML pour améliorer ranking</t>
  </si>
  <si>
    <t>Popular Near You</t>
  </si>
  <si>
    <t>Recommendations géolocalisées</t>
  </si>
  <si>
    <t>Section 'Popular near you' en haut résultats
Basé sur localisation temps réel
Rafraîchir si déplacement significatif</t>
  </si>
  <si>
    <t>Search → Géoloc détectée → Query top venues rayon 5km → Affiché en premier
Analytics: Taux clic popular vs autres résultats</t>
  </si>
  <si>
    <t>GET /api/search/popular-nearby?lat=&amp;lng=&amp;radius=5000
Cache: Redis 10min par zone géographique</t>
  </si>
  <si>
    <t>Search Service</t>
  </si>
  <si>
    <t>N/A (query dynamique)</t>
  </si>
  <si>
    <t>Cache: zone_hash, top_venues_ids, cached_at</t>
  </si>
  <si>
    <t>Geohash pour cache zones, ranking popularité (visites récentes + ratings), refresh si user bouge &gt;1km</t>
  </si>
  <si>
    <t>Search Analytics</t>
  </si>
  <si>
    <t>Tracking exhaustif recherches</t>
  </si>
  <si>
    <t>Aucune UI visible
Tracking backend toutes interactions</t>
  </si>
  <si>
    <t>Chaque recherche → Log: query, filtres, résultats, clics, temps, abandon
Agrégation: Trending searches, zero-results, conversion rates</t>
  </si>
  <si>
    <t>POST /api/analytics/search {query, filters, results, clicked, converted, time_spent, location, timestamp}
GET /api/analytics/search-trends?period=7d
GET /api/analytics/zero-results-queries</t>
  </si>
  <si>
    <t>Analytics Service</t>
  </si>
  <si>
    <t>search_analytics</t>
  </si>
  <si>
    <t>log_id, user_id, query, filters_json, results_count, clicked_result_id, converted, time_spent, location, timestamp</t>
  </si>
  <si>
    <t>BigQuery ou ClickHouse pour analytics, dashboards internes, ML pour améliorer search, détection opportunités business (queries sans résultats)</t>
  </si>
  <si>
    <t>SOCIAL</t>
  </si>
  <si>
    <t>Follow System</t>
  </si>
  <si>
    <t>Système abonnements utilisateurs</t>
  </si>
  <si>
    <t>Suivre / Ne plus suivre
Voir followers
Voir following
Bloquer utilisateur
Signaler profil</t>
  </si>
  <si>
    <t>Profil user → Bouton Follow → Notification destinataire → Acceptation auto (si public) ou manuelle (si privé)
Analytics: Graph social, influenceurs, communautés</t>
  </si>
  <si>
    <t>POST /api/users/{id}/follow
DELETE /api/users/{id}/unfollow
GET /api/users/{id}/followers?page=
GET /api/users/{id}/following?page=
POST /api/users/{id}/block
POST /api/users/{id}/report {reason}</t>
  </si>
  <si>
    <t>user_follows</t>
  </si>
  <si>
    <t>follow_id, follower_id, followed_id, created_at, status</t>
  </si>
  <si>
    <t>Notification système, privacy (public follow auto, private nécessite approbation), block list, graph social analysis</t>
  </si>
  <si>
    <t>Share Functionality</t>
  </si>
  <si>
    <t>Partage cross-platform</t>
  </si>
  <si>
    <t>Partager vers: WhatsApp, Instagram, Facebook, Twitter, SMS, Email, Copier lien
Deeplink vers contenu partagé
Preview card génération</t>
  </si>
  <si>
    <t>Bouton Share (venue/post/booking) → Modal partage → Sélection plateforme → Intent natif / deeplink
Analytics: Plateforme, contenu partagé, tracking referrals</t>
  </si>
  <si>
    <t>POST /api/share {content_type, content_id, platform}
GET /api/share/preview/{share_id} (Open Graph meta)
GET /api/analytics/referrals?share_id=</t>
  </si>
  <si>
    <t>Social Service + Analytics Service</t>
  </si>
  <si>
    <t>shares</t>
  </si>
  <si>
    <t>share_id, user_id, content_type, content_id, platform, referral_code, clicks, conversions, created_at</t>
  </si>
  <si>
    <t>Deep linking (Branch.io/Firebase), Open Graph meta generation, referral tracking codes, viral coefficient calculation</t>
  </si>
  <si>
    <t>NOTIFICATIONS</t>
  </si>
  <si>
    <t>Push Notifications</t>
  </si>
  <si>
    <t>Système</t>
  </si>
  <si>
    <t>Notifications push contextuelles</t>
  </si>
  <si>
    <t>Aucun bouton UI dédié
Settings: Toggle par type notification</t>
  </si>
  <si>
    <t>Divers déclencheurs → Queue notification → Firebase/APNs → Push delivery → Tap → Deep link
Types: Booking reminder (2h avant), Rating request (1-2h après), Friend request, New follower, Post like/comment, Promo/marketing</t>
  </si>
  <si>
    <t>POST /api/notifications/send {user_id, type, title, body, deep_link}
GET /api/notifications?user_id=&amp;page=
PUT /api/notifications/{id}/read
POST /api/notifications/register-device {device_token, platform}
DELETE /api/notifications/unregister-device</t>
  </si>
  <si>
    <t>Notification Service</t>
  </si>
  <si>
    <t>notifications</t>
  </si>
  <si>
    <t>notification_id, user_id, type, title, body, deep_link, read, sent_at, delivered_at, opened_at</t>
  </si>
  <si>
    <t>Firebase Cloud Messaging / APNs, device token management, notification queue (Redis/RabbitMQ), delivery tracking, A/B testing notifs, opt-out management</t>
  </si>
  <si>
    <t>In-App Notifications</t>
  </si>
  <si>
    <t>Centre notifications in-app</t>
  </si>
  <si>
    <t>Badge compteur non-lues
Liste notifications
Marquer lue
Marquer toutes lues
Supprimer notification
Filtrer par type</t>
  </si>
  <si>
    <t>Bell icon (header) → Badge si non-lues → Tap → Liste notifications → Tap notif → Deep link contenu
Refresh temps réel via WebSocket</t>
  </si>
  <si>
    <t>GET /api/notifications?user_id=&amp;unread=true
PUT /api/notifications/{id}/read
PUT /api/notifications/mark-all-read
DELETE /api/notifications/{id}
WebSocket: wss://api/notifications/stream</t>
  </si>
  <si>
    <t>notification_id, read, deleted_at</t>
  </si>
  <si>
    <t>WebSocket pour temps réel, badge update, grouping notifications similaires, expiration auto après 30j</t>
  </si>
  <si>
    <t>VENUE_DETAILS</t>
  </si>
  <si>
    <t>Restaurant Detail</t>
  </si>
  <si>
    <t>Page détail restaurant complète</t>
  </si>
  <si>
    <t>Réserver table
Appeler restaurant
Voir site web
Directions / GPS
Partager restaurant
Sauvegarder / Favori
Voir menu (PDF/images)
Galerie photos (fullscreen)
Voir horaires (expand/collapse)
Équipements / Amenities
Lire reviews
Écrire review
Voir événements associés</t>
  </si>
  <si>
    <t>Liste restaurants → Tap → Détail chargé → Scroll sections → Actions
Analytics: Temps passé, sections vues, clics CTA, scroll depth</t>
  </si>
  <si>
    <t>GET /api/restaurants/{id}
GET /api/restaurants/{id}/menu
GET /api/restaurants/{id}/photos
GET /api/restaurants/{id}/hours
GET /api/restaurants/{id}/amenities
GET /api/restaurants/{id}/reviews
GET /api/restaurants/{id}/events
POST /api/analytics/venue-view {venue_id, sections_viewed, time_spent}</t>
  </si>
  <si>
    <t>restaurants</t>
  </si>
  <si>
    <t>venue_id, name, description, cuisine, price_level, phone, website, location, menu_url, photos, hours, amenities, capacity, rating, reviews_count</t>
  </si>
  <si>
    <t>Image lazy loading, menu PDF viewer, map embed, hours parsing, amenities icons, review pagination</t>
  </si>
  <si>
    <t>Drinks Venue Detail</t>
  </si>
  <si>
    <t>Page détail bar/lounge</t>
  </si>
  <si>
    <t>Réserver table
Voir happy hours
Appeler bar
Voir carte cocktails
Directions
Partager
Sauvegarder
Galerie
Horaires
Ambiance tags (Cozy, Vibrant, Intimate)
Musique / Genre
Dress code</t>
  </si>
  <si>
    <t>Similar to restaurant detail
Sections spécifiques: Happy hours, Cocktail specialties, Music genre, Dress code
Analytics identiques</t>
  </si>
  <si>
    <t>GET /api/drinks/{id}
GET /api/drinks/{id}/happy-hours
GET /api/drinks/{id}/cocktail-menu
Similar endpoints to restaurants</t>
  </si>
  <si>
    <t>venue_id, bar_type, happy_hour_times, specialties, ambiance_tags, music_genre, dress_code</t>
  </si>
  <si>
    <t>Happy hours affichage temps réel (active/inactive), cocktail menu carousel, ambiance badges</t>
  </si>
  <si>
    <t>Event Detail</t>
  </si>
  <si>
    <t>Page détail événement</t>
  </si>
  <si>
    <t>Acheter billets / Get Tickets
RSVP (si gratuit)
Intéressé (remind me)
Partager événement
Voir venue associé
Directions
Ajouter calendrier
Voir line-up (si concert)
Voir organisateur
Voir capacité restante
Photos/Vidéos teaser</t>
  </si>
  <si>
    <t>Liste events → Tap → Détail → Get Tickets → Modal sélection
Analytics: Vues, interested clicks, ticket clicks, conversions, abandons</t>
  </si>
  <si>
    <t>GET /api/events/{id}
GET /api/events/{id}/venue
GET /api/events/{id}/lineup
GET /api/events/{id}/organizer
GET /api/events/{id}/tickets/availability
POST /api/events/{id}/interested
POST /api/events/{id}/rsvp</t>
  </si>
  <si>
    <t>events</t>
  </si>
  <si>
    <t>event_id, title, description, venue_id, date_time, end_time, capacity, available_tickets, price_range, category, lineup, organizer_id, images, videos</t>
  </si>
  <si>
    <t>Video preview autoplay, countdown to event, dynamic capacity indicator, lineup carousel, calendar ICS generation</t>
  </si>
  <si>
    <t>ADMIN</t>
  </si>
  <si>
    <t>Restaurant Dashboard</t>
  </si>
  <si>
    <t>Écran (Business)</t>
  </si>
  <si>
    <t>Dashboard restaurant partenaire</t>
  </si>
  <si>
    <t>Voir réservations du jour
Accepter/Refuser réservation
Marquer présence (QR scan)
Signaler no-show
Modifier disponibilités
Voir analytics: Taux remplissage, revenue estimé, taux no-show
Promouvoir restaurant (boost listing)
Répondre reviews</t>
  </si>
  <si>
    <t>Separate business app/web
Login restaurant → Dashboard → Réservations list → Actions
Analytics temps réel</t>
  </si>
  <si>
    <t>GET /api/business/bookings?venue_id=&amp;date=
PUT /api/business/bookings/{id}/confirm
PUT /api/business/bookings/{id}/reject
POST /api/business/bookings/{id}/check-in {qr_code}
POST /api/business/bookings/{id}/no-show
PUT /api/business/venues/{id}/availability
GET /api/business/analytics?venue_id=</t>
  </si>
  <si>
    <t>Business Service</t>
  </si>
  <si>
    <t>business_accounts</t>
  </si>
  <si>
    <t>business_id, venue_id, owner_id, subscription_tier, features_enabled</t>
  </si>
  <si>
    <t>QR scanner app, analytics dashboards (Chart.js), revenue tracking, subscription tiers (Free/Premium/Enterprise), notification système nouvelles réservations</t>
  </si>
  <si>
    <t>Event Organizer Dashboard</t>
  </si>
  <si>
    <t>Dashboard organisateur événements</t>
  </si>
  <si>
    <t>Créer événement
Gérer billets (types, prix, capacité)
Voir ventes temps réel
Scanner billets (check-in)
Voir analytics: Ventes par jour, taux conversion, revenue
Export liste participants
Envoyer annonces participants
Rembourser billets</t>
  </si>
  <si>
    <t>Business web portal
Create event → Setup tickets → Publish → Monitor sales → Check-in day-of
Email confirmations auto</t>
  </si>
  <si>
    <t>POST /api/business/events {event_details}
PUT /api/business/events/{id}
POST /api/business/events/{id}/tickets {ticket_types}
GET /api/business/events/{id}/sales
POST /api/business/tickets/scan {ticket_qr}
POST /api/business/events/{id}/refund {booking_id}
POST /api/business/events/{id}/announcement {message}</t>
  </si>
  <si>
    <t>Business Service + Events Service</t>
  </si>
  <si>
    <t>event_organizers</t>
  </si>
  <si>
    <t>organizer_id, name, email, phone, verified, rating, events_count</t>
  </si>
  <si>
    <t>Event creation wizard, ticket inventory management, QR scanner web app, sales analytics, email blast system, refund processing, Stripe Connect pour payouts</t>
  </si>
  <si>
    <t>PAYMENT</t>
  </si>
  <si>
    <t>Payment Processing</t>
  </si>
  <si>
    <t>Traitement paiements intégré</t>
  </si>
  <si>
    <t>Aucun bouton UI dédié (intégré flows booking)
Méthodes: Card, Apple Pay, Google Pay, Cash (pay at venue)</t>
  </si>
  <si>
    <t>Booking flow → Payment step → Sélection méthode → Stripe/Mollie SDK → 3DS authentication → Confirmation → Webhook processing
Fallback: Pay at venue (no online payment)</t>
  </si>
  <si>
    <t>POST /api/payments/create-intent {amount, currency, booking_id}
POST /api/payments/confirm {payment_intent_id}
POST /api/payments/webhook (Stripe webhook)
GET /api/payments/{id}/status
POST /api/payments/refund {payment_id, amount}</t>
  </si>
  <si>
    <t>Payment Service</t>
  </si>
  <si>
    <t>payments</t>
  </si>
  <si>
    <t>payment_id, booking_id, user_id, amount, currency, method, status, stripe_payment_intent_id, refunded_amount, created_at</t>
  </si>
  <si>
    <t>Stripe/Mollie integration, PCI compliance (no card storage), 3DS2, webhook signature validation, idempotency, retry logic, refund handling, payment reconciliation</t>
  </si>
  <si>
    <t>Commission Management</t>
  </si>
  <si>
    <t>Gestion commissions LYFE</t>
  </si>
  <si>
    <t>Aucune UI utilisateur final
Dashboard business: Voir commissions prélevées</t>
  </si>
  <si>
    <t>Paiement booking/ticket → Commission LYFE calculée (X%) → Split payment Stripe Connect → Transfer vers restaurant/organizer (net) → LYFE reçoit commission
Calcul: Commission = montant × taux (10-20% selon tier restaurant)</t>
  </si>
  <si>
    <t>POST /api/payments/split {payment_id, venue_id}
Stripe Connect: Transfer to connected account
GET /api/business/payouts?venue_id=
Internal: Accounting reconciliation queries</t>
  </si>
  <si>
    <t>payment_commissions</t>
  </si>
  <si>
    <t>commission_id, payment_id, venue_id, gross_amount, commission_rate, commission_amount, net_amount, transfer_id, status</t>
  </si>
  <si>
    <t>Stripe Connect setup, KYC verification restaurants, payout scheduling (weekly/monthly), commission rate tiers, accounting exports, tax handling</t>
  </si>
  <si>
    <t>ANALYTICS</t>
  </si>
  <si>
    <t>User Behavior Tracking</t>
  </si>
  <si>
    <t>Tracking comportemental exhaustif</t>
  </si>
  <si>
    <t>Aucune UI visible
Settings: Opt-out dans consentements</t>
  </si>
  <si>
    <t>Tous événements app → Event tracking → Analytics pipeline → Data warehouse
Événements: Screen views, button clicks, scroll depth, search queries, filters used, time spent, session duration, funnel drop-offs</t>
  </si>
  <si>
    <t>POST /api/analytics/events {event_type, event_data, user_id, session_id, timestamp, device_info, location}
Batch: POST /api/analytics/events/batch
Internal: Queries sur data warehouse</t>
  </si>
  <si>
    <t>analytics_events</t>
  </si>
  <si>
    <t>event_id, user_id, session_id, event_type, event_data_json, location, device_info, timestamp</t>
  </si>
  <si>
    <t>Amplitude/Mixpanel SDK, event batching, data warehouse (BigQuery/Redshift), GDPR compliance (anonymization), user consent checking, ML features extraction</t>
  </si>
  <si>
    <t>Business Intelligence</t>
  </si>
  <si>
    <t>Analytics pour business decisions</t>
  </si>
  <si>
    <t>Dashboard admin interne
KPIs: DAU, MAU, retention, revenue, conversion rates
Cohort analysis
Funnel analysis
Geo heatmaps
Popular cuisines/locations
Peak booking times</t>
  </si>
  <si>
    <t>Internal dashboards
Data science team queries
Automated reports</t>
  </si>
  <si>
    <t>Internal BI tools queries
GET /api/internal/analytics/kpis?period=30d
GET /api/internal/analytics/cohorts
GET /api/internal/analytics/funnels
GET /api/internal/analytics/geo-heatmap
ML: Churn prediction, recommendation models</t>
  </si>
  <si>
    <t>aggregated_analytics</t>
  </si>
  <si>
    <t>Precomputed metrics tables, ML feature stores</t>
  </si>
  <si>
    <t>Data pipeline (Airflow/Luigi), BI dashboards (Metabase/Looker), ML models (Python/scikit-learn), A/B testing framework, data monetization prep (anonymized datasets)</t>
  </si>
  <si>
    <t>AI_AGENT</t>
  </si>
  <si>
    <t>Recommandations IA conversationnelles</t>
  </si>
  <si>
    <t>Chat interface
Poser question ('Où dîner ce soir?')
Voir suggestions
Affiner préférences
Réserver depuis agent</t>
  </si>
  <si>
    <t>Feed/Search → AI button → Chat modal → Query → AI response avec venues → Tap venue → Détail → Book
Analytics: Queries, suggestions accepted, conversion rate</t>
  </si>
  <si>
    <t>POST /api/ai/chat {message, user_id, context}
Response: {reply, suggested_venues, confidence}
Uses: OpenAI GPT-4 + vector search embeddings
POST /api/ai/feedback {chat_id, accepted_suggestions}</t>
  </si>
  <si>
    <t>AI Service</t>
  </si>
  <si>
    <t>ai_chat_logs</t>
  </si>
  <si>
    <t>chat_id, user_id, message, response, suggested_venue_ids, accepted, created_at</t>
  </si>
  <si>
    <t>OpenAI API integration, rate limiting, context management (last 5 messages), vector embeddings (Pinecone/Weaviate) for semantic venue search, prompt engineering, safety filters</t>
  </si>
  <si>
    <t>LYFE Agent Premium</t>
  </si>
  <si>
    <t>Agent IA avancé avec personnalisation</t>
  </si>
  <si>
    <t>Toutes features Basic +
Personnalisation profonde (apprendre préférences)
Itinéraires multi-venues
Recommandations groupe
Booking automatique
Voice input
Image recognition ('Trouve restaurants similaires à cette photo')</t>
  </si>
  <si>
    <t>Premium subscription required
Plus de contexte historique
Proactive suggestions ('Vous aimez X, essayez Y')</t>
  </si>
  <si>
    <t>Same endpoints + premium features flag
POST /api/ai/chat-premium {message, user_id, full_context}
POST /api/ai/analyze-image {image}
POST /api/ai/group-recommendations {user_ids, preferences}
POST /api/ai/auto-book {venue_id, preferences}</t>
  </si>
  <si>
    <t>ai_premium_users</t>
  </si>
  <si>
    <t>user_id, premium_tier, context_limit, auto_book_enabled</t>
  </si>
  <si>
    <t>GPT-4 Turbo, longer context window, DALL-E/Vision API for image analysis, collaborative filtering + content-based recommendations hybrid, auto-booking with user confirmation, voice transcription (Whisper API)</t>
  </si>
  <si>
    <t>MEDIA</t>
  </si>
  <si>
    <t>Image Upload &amp; CDN</t>
  </si>
  <si>
    <t>Gestion médias utilisateurs</t>
  </si>
  <si>
    <t>Upload photos profil, posts, reviews
Compression automatique
Modération contenu</t>
  </si>
  <si>
    <t>User action upload → Validation (format, taille) → Compression client → Upload S3/CloudFlare → CDN URL → Display
Moderation queue: AI flagging → Human review si needed</t>
  </si>
  <si>
    <t>POST /api/media/upload {file, type}
Response: {media_id, url, thumbnail_url}
GET /api/media/{id}
DELETE /api/media/{id}
POST /api/media/moderate {media_id, action}</t>
  </si>
  <si>
    <t>Media Service</t>
  </si>
  <si>
    <t>media</t>
  </si>
  <si>
    <t>media_id, user_id, url, thumbnail_url, type, size, moderation_status, created_at</t>
  </si>
  <si>
    <t>S3/CloudFlare R2 storage, image compression (Sharp/Pillow), thumbnail generation, CDN (CloudFlare), moderation AI (AWS Rekognition), NSFW detection, virus scanning</t>
  </si>
  <si>
    <t>Video Processing</t>
  </si>
  <si>
    <t>Traitement vidéos stories/posts</t>
  </si>
  <si>
    <t>Upload vidéo (stories, posts)
Compression automatique
Streaming optimisé</t>
  </si>
  <si>
    <t>User upload video → Compression → Transcoding (multiple resolutions) → Upload → HLS/DASH streaming → Display
Max: 60sec stories, 2min posts</t>
  </si>
  <si>
    <t>POST /api/media/upload-video {file}
Response: {video_id, hls_url, thumbnail_url, duration}
Processing: Async job queue</t>
  </si>
  <si>
    <t>media_id, video_url, hls_url, duration, processing_status</t>
  </si>
  <si>
    <t>FFmpeg transcoding, multiple resolutions (360p/720p/1080p), HLS streaming, async processing (Celery), progress tracking, watermarking optional</t>
  </si>
  <si>
    <t>MAPS</t>
  </si>
  <si>
    <t>Map Integration</t>
  </si>
  <si>
    <t>Intégration cartes interactives</t>
  </si>
  <si>
    <t>Voir sur carte
Obtenir itinéraire
Voir venues sur carte (clustering)
Filtrer carte par type venue</t>
  </si>
  <si>
    <t>Détail venue → Map button → Carte centrée sur venue → Directions
List view → Map toggle → Cluster markers → Tap marker → Venue preview → Détail</t>
  </si>
  <si>
    <t>GET /api/venues/map?bounds=&amp;type=&amp;filters=
Returns: {venues: [{id, name, location, type}]}
Frontend: MapBox/Google Maps SDK</t>
  </si>
  <si>
    <t>N/A (query sur venues)</t>
  </si>
  <si>
    <t>location (PostGIS Point type)</t>
  </si>
  <si>
    <t>MapBox GL / Google Maps SDK, marker clustering, bounds-based query (PostGIS), directions deep link (Google Maps / Apple Maps), custom markers par type</t>
  </si>
  <si>
    <t>MICROSERVICES</t>
  </si>
  <si>
    <t>API Gateway</t>
  </si>
  <si>
    <t>Infrastructure</t>
  </si>
  <si>
    <t>Gateway centralisation APIs</t>
  </si>
  <si>
    <t>Kong/Nginx, rate limiting (Redis), JWT validation middleware, CORS config, request logging, circuit breaker, health checks</t>
  </si>
  <si>
    <t>Service</t>
  </si>
  <si>
    <t>Microservice authentification</t>
  </si>
  <si>
    <t>FastAPI service
Endpoints: /api/auth/*
Database: PostgreSQL users, user_sessions
Dependencies: Redis (session cache), Email service (verification)
Scale: 2-4 instances behind load balancer</t>
  </si>
  <si>
    <t>users</t>
  </si>
  <si>
    <t>user_id, email, password_hash, phone, verified, created_at, last_login</t>
  </si>
  <si>
    <t>FastAPI + SQLAlchemy, Argon2 hashing, JWT tokens (RS256), refresh tokens, Redis session cache, rate limiting, email verification (SendGrid/SES), OAuth2 flows</t>
  </si>
  <si>
    <t>Microservice venues/restaurants/drinks</t>
  </si>
  <si>
    <t>FastAPI service
Endpoints: /api/venues/*, /api/restaurants/*, /api/drinks/*
Database: PostgreSQL venues, drinks_venues
Dependencies: Elasticsearch (search), Redis (cache)
Scale: 3-6 instances (read-heavy)</t>
  </si>
  <si>
    <t>venue_id, name, cuisine, location (PostGIS), rating, price_level, photos, hours, capacity</t>
  </si>
  <si>
    <t>FastAPI + SQLAlchemy, PostGIS extension, Elasticsearch sync (CDC or manual), Redis caching (TTL 5min), image URLs from CDN, pagination, filtering</t>
  </si>
  <si>
    <t>Microservice événements &amp; billets</t>
  </si>
  <si>
    <t>FastAPI service
Endpoints: /api/events/*
Database: PostgreSQL events, event_tickets, ticket_inventory
Dependencies: Payment Service, Notification Service
Scale: 2-4 instances, Redis for inventory locking</t>
  </si>
  <si>
    <t>event_id, title, venue_id, date_time, capacity, tickets_available, price_range, organizer_id</t>
  </si>
  <si>
    <t>FastAPI, race condition handling (Redis distributed locks), ticket inventory decrement (atomic transactions), webhook integrations, capacity monitoring alerts</t>
  </si>
  <si>
    <t>Microservice réservations</t>
  </si>
  <si>
    <t>FastAPI service
Endpoints: /api/bookings/*
Database: PostgreSQL bookings, booking_slots, venue_availability
Dependencies: Venue Service, Payment Service, Loyalty Service, Notification Service
Scale: 3-5 instances</t>
  </si>
  <si>
    <t>booking_id, user_id, venue_id, date_time, guests, status, booking_reference, qr_code, points_earned</t>
  </si>
  <si>
    <t>FastAPI, availability checking (Redis cache + PostgreSQL), QR code generation (qrcode lib), booking reference generation (unique), status state machine, notification triggers, transaction management</t>
  </si>
  <si>
    <t>Microservice fonctionnalités sociales</t>
  </si>
  <si>
    <t>FastAPI service
Endpoints: /api/feed/*, /api/posts/*, /api/stories/*, /api/users/*/follow, /api/community/*
Database: PostgreSQL posts, post_likes, comments, stories, user_follows, leaderboard data
Dependencies: User Service, Media Service, Notification Service
Scale: 2-4 instances</t>
  </si>
  <si>
    <t>post_id, user_id, venue_id, content, media_urls, likes_count, comments_count, created_at</t>
  </si>
  <si>
    <t>FastAPI, feed ranking algorithm (engagement + recency), stories expiration (cron job), WebSocket for real-time updates, activity aggregation, graph queries (followers/following)</t>
  </si>
  <si>
    <t>Microservice notations &amp; reviews</t>
  </si>
  <si>
    <t>FastAPI service
Endpoints: /api/ratings/*
Database: PostgreSQL venue_ratings, rating_comparables, rating_categories
Dependencies: Booking Service (verify visit), Venue Service (update aggregates)
Scale: 2-3 instances</t>
  </si>
  <si>
    <t>rating_id, user_id, venue_id, booking_id, final_score, sentiment, service_rating, food_rating, comment, helpful_count</t>
  </si>
  <si>
    <t>FastAPI, scoring algorithm implementation, comparable venue selection (same cuisine + location), aggregate rating calculation (weighted average), spam detection, moderation queue integration</t>
  </si>
  <si>
    <t>Microservice programme fidélité</t>
  </si>
  <si>
    <t>FastAPI service
Endpoints: /api/loyalty/*
Database: PostgreSQL loyalty_accounts, loyalty_transactions, loyalty_rewards, loyalty_tiers
Dependencies: Booking Service (award points), User Service
Scale: 2-3 instances</t>
  </si>
  <si>
    <t>loyalty_accounts</t>
  </si>
  <si>
    <t>account_id, user_id, total_points, current_tier, tier_multiplier, expiring_points, tier_expiry_date</t>
  </si>
  <si>
    <t>FastAPI, points calculation with tier multipliers, expiration logic (cron job), tier progression/demotion automation, reward redemption validation, transaction history, coupon generation</t>
  </si>
  <si>
    <t>Microservice paiements</t>
  </si>
  <si>
    <t>FastAPI service
Endpoints: /api/payments/*
Database: PostgreSQL payments, payment_commissions, refunds
Dependencies: Stripe/Mollie SDK, Booking Service, Events Service
Scale: 3-5 instances (critical, high availability)
PCI compliant infrastructure</t>
  </si>
  <si>
    <t>payment_id, booking_id, amount, currency, method, status, stripe_payment_intent_id, commission_amount, created_at</t>
  </si>
  <si>
    <t>FastAPI, Stripe/Mollie SDK, webhook handling (signature verification), idempotency keys, retry logic, refund processing, commission split (Stripe Connect), payment reconciliation, fraud detection, PCI DSS compliance</t>
  </si>
  <si>
    <t>Microservice notifications</t>
  </si>
  <si>
    <t>FastAPI service
Endpoints: /api/notifications/*
Database: PostgreSQL notifications, device_tokens
Dependencies: Firebase Cloud Messaging, APNs, Email service (SendGrid), SMS service (Twilio)
Scale: 2-4 instances, Message queue (RabbitMQ/SQS)
Async processing</t>
  </si>
  <si>
    <t>notification_id, user_id, type, title, body, deep_link, sent_at, delivered_at, opened_at</t>
  </si>
  <si>
    <t>FastAPI, FCM/APNs integration, device token management, notification queue (Celery + Redis), retry logic, delivery tracking, unsubscribe management, notification templates, A/B testing framework, scheduled notifications</t>
  </si>
  <si>
    <t>Microservice recherche</t>
  </si>
  <si>
    <t>FastAPI service
Endpoints: /api/search/*
Database: Elasticsearch (primary), PostgreSQL (metadata)
Dependencies: Venue Service, Events Service, User Service
Scale: 2-4 instances + Elasticsearch cluster (3 nodes)</t>
  </si>
  <si>
    <t>search_id, user_id, query, filters_json, clicked_result_id, timestamp</t>
  </si>
  <si>
    <t>FastAPI, Elasticsearch 8.x, full-text search, typo tolerance (fuzziness), synonyms config, multi-field search (name, cuisine, description), PostGIS integration for geo-search, autocomplete (edge ngrams), search analytics, ranking optimization (boost popular venues)</t>
  </si>
  <si>
    <t>Microservice analytics &amp; BI</t>
  </si>
  <si>
    <t>FastAPI service
Endpoints: /api/analytics/* (internal), /api/internal/analytics/*
Database: PostgreSQL (metadata), Data Warehouse (BigQuery/Redshift/ClickHouse)
Dependencies: All services send events
Scale: 2-3 instances + streaming pipeline
Data pipeline: Kafka/Kinesis → Spark/Flink → Warehouse</t>
  </si>
  <si>
    <t>event_id, user_id, event_type, event_data_json, timestamp, session_id</t>
  </si>
  <si>
    <t>FastAPI, event ingestion API, streaming pipeline (Kafka + Spark), data warehouse (BigQuery), BI dashboards (Metabase/Looker), ML models (churn, recommendations), GDPR anonymization, data monetization prep</t>
  </si>
  <si>
    <t>Microservice IA &amp; ML</t>
  </si>
  <si>
    <t>FastAPI service
Endpoints: /api/ai/*
Database: PostgreSQL (chat logs), Vector DB (Pinecone/Weaviate for embeddings)
Dependencies: OpenAI API, Venue Service, User Service
Scale: 2-4 instances, GPU instances for ML models
Rate limiting &amp; cost management</t>
  </si>
  <si>
    <t>chat_id, user_id, message, response, suggested_venue_ids, created_at</t>
  </si>
  <si>
    <t>FastAPI, OpenAI GPT-4 API, vector embeddings (text-embedding-ada-002), semantic search, prompt engineering, context management, safety filters (moderation API), recommendation models (collaborative + content-based), image analysis (GPT-4 Vision), rate limiting (cost control)</t>
  </si>
  <si>
    <t>Microservice gestion médias</t>
  </si>
  <si>
    <t>FastAPI service
Endpoints: /api/media/*
Storage: S3/CloudFlare R2
Database: PostgreSQL media
Dependencies: Moderation AI (AWS Rekognition), CDN (CloudFlare)
Scale: 2-4 instances + async workers (Celery) for processing</t>
  </si>
  <si>
    <t>media_id, user_id, url, thumbnail_url, type, size_bytes, moderation_status, created_at</t>
  </si>
  <si>
    <t>FastAPI, S3/R2 storage, image compression (Pillow), video transcoding (FFmpeg + Celery workers), thumbnail generation, CDN integration, moderation pipeline (AI + human review queue), virus scanning (ClamAV), NSFW detection</t>
  </si>
  <si>
    <t>Microservice dashboard restaurants/organizers</t>
  </si>
  <si>
    <t>FastAPI service
Endpoints: /api/business/*
Database: PostgreSQL business_accounts, restaurant dashboard data
Dependencies: Booking Service, Events Service, Payment Service, Analytics Service
Scale: 1-2 instances (low traffic, B2B)
Separate authentication (business accounts)</t>
  </si>
  <si>
    <t>business_id, venue_id, owner_id, subscription_tier, features_enabled, onboarded, created_at</t>
  </si>
  <si>
    <t>FastAPI, separate auth for business users, dashboard analytics API, QR code validation, subscription management (Stripe Billing), webhook notifications new bookings, email reports, data exports (CSV/Excel)</t>
  </si>
  <si>
    <t>INFRASTRUCTURE</t>
  </si>
  <si>
    <t>PostgreSQL Database</t>
  </si>
  <si>
    <t>Base de données relationnelle principale</t>
  </si>
  <si>
    <t>PostgreSQL 15+
Extensions: PostGIS (geo), pg_trgm (fuzzy search), uuid-ossp
Replication: Primary + 2 read replicas
Backups: Daily automated (Point-in-time recovery)
Partitioning: Large tables (bookings, analytics_events) by date
Connection pooling: PgBouncer</t>
  </si>
  <si>
    <t>Multiple services</t>
  </si>
  <si>
    <t>Multiple tables</t>
  </si>
  <si>
    <t>Full schema design requis (50+ tables)</t>
  </si>
  <si>
    <t>AWS RDS PostgreSQL or self-managed, PostGIS for geo queries, read replicas for scaling, connection pooling, monitoring (pg_stat_statements), index optimization, partitioning strategy, backup/restore procedures, migration scripts (Alembic)</t>
  </si>
  <si>
    <t>Redis Cache</t>
  </si>
  <si>
    <t>Cache distribué &amp; sessions</t>
  </si>
  <si>
    <t>Redis 7+
Use cases: Session storage, API response cache, rate limiting, distributed locks (inventory), leaderboard (sorted sets), pub/sub (real-time events)
Cluster: 3 nodes (master + 2 replicas)
Persistence: AOF + RDS</t>
  </si>
  <si>
    <t>AWS ElastiCache Redis or self-managed, cache invalidation strategies, TTL configuration, monitoring (memory usage, hit rate), eviction policies</t>
  </si>
  <si>
    <t>Elasticsearch</t>
  </si>
  <si>
    <t>Moteur recherche full-text</t>
  </si>
  <si>
    <t>Elasticsearch 8+
Cluster: 3 nodes (master-eligible + data)
Indices: venues, events, users
Sync strategy: CDC (Change Data Capture) or manual indexing
Backup: Snapshots daily</t>
  </si>
  <si>
    <t>Indices: venues</t>
  </si>
  <si>
    <t>Mappings: text (analyzed), keyword, geo_point</t>
  </si>
  <si>
    <t>AWS OpenSearch or self-managed, index design, synonyms configuration, analyzers (language-specific), monitoring (cluster health, query performance), backup/restore</t>
  </si>
  <si>
    <t>Message Queue</t>
  </si>
  <si>
    <t>Queue asynchrone tâches</t>
  </si>
  <si>
    <t>RabbitMQ or AWS SQS
Queues: email_queue, push_notification_queue, media_processing_queue, analytics_events_queue
Workers: Celery (Python)
Retry logic: Dead letter queues</t>
  </si>
  <si>
    <t>RabbitMQ/SQS, Celery workers (Python), retry policies, monitoring (queue length, processing time), dead letter queue handling</t>
  </si>
  <si>
    <t>CDN &amp; Storage</t>
  </si>
  <si>
    <t>Stockage objets &amp; CDN</t>
  </si>
  <si>
    <t>Object Storage: AWS S3 or CloudFlare R2
CDN: CloudFlare (global distribution)
Buckets: user-uploads, venue-images, media-processed
Policies: Lifecycle (auto-delete old media), CORS, encryption at rest</t>
  </si>
  <si>
    <t>S3/R2 setup, CloudFlare CDN integration, bucket policies, lifecycle rules, cost optimization (Intelligent Tiering), geo-distribution</t>
  </si>
  <si>
    <t>Monitoring &amp; Logging</t>
  </si>
  <si>
    <t>Observabilité système</t>
  </si>
  <si>
    <t>Logging: ELK Stack (Elasticsearch, Logstash, Kibana) or CloudWatch Logs
Metrics: Prometheus + Grafana or DataDog
APM: New Relic or DataDog APM
Alerts: PagerDuty integration
Distributed tracing: Jaeger or AWS X-Ray</t>
  </si>
  <si>
    <t>All services</t>
  </si>
  <si>
    <t>Centralized logging, metrics collection, dashboards (latency, errors, throughput), alerting rules, on-call rotation, distributed tracing for debugging microservices</t>
  </si>
  <si>
    <t>CI/CD Pipeline</t>
  </si>
  <si>
    <t>Déploiement continu</t>
  </si>
  <si>
    <t>CI: GitHub Actions or GitLab CI
CD: ArgoCD or Flux (GitOps)
Containers: Docker + Kubernetes (EKS/GKE/AKS)
Registry: ECR or Docker Hub
Environments: Dev, Staging, Production
Deployment strategy: Blue-green or Canary</t>
  </si>
  <si>
    <t>Automated testing (unit, integration, e2e), Docker multi-stage builds, Kubernetes manifests, Helm charts, automated rollbacks, environment parity</t>
  </si>
  <si>
    <t>Security &amp; Compliance</t>
  </si>
  <si>
    <t>Sécurité &amp; conformité</t>
  </si>
  <si>
    <t>WAF: CloudFlare or AWS WAF
DDoS protection: CloudFlare
SSL/TLS: Let's Encrypt auto-renewal
Secrets management: AWS Secrets Manager or Vault
Vulnerability scanning: Snyk or Trivy
Compliance: GDPR, PCI-DSS (payment), SOC2 (future)
Penetration testing: Annual</t>
  </si>
  <si>
    <t>WAF rules, rate limiting, SSL configuration, secrets rotation, vulnerability scanning in CI, GDPR data handling, PCI compliance for payments, security audits</t>
  </si>
  <si>
    <t>DATA_SEEDING</t>
  </si>
  <si>
    <t>Initial Data Seed</t>
  </si>
  <si>
    <t>Setup</t>
  </si>
  <si>
    <t>Données initiales production</t>
  </si>
  <si>
    <t>Seed data: Cities (Casablanca, Rabat, Marrakech, etc.), Categories (Moroccan, Italian, French, etc.), Amenities list, Loyalty tiers config
Method: SQL scripts or Python seed scripts
Run: Initial deployment only, then manual admin panel</t>
  </si>
  <si>
    <t>Cities, categories, amenities, tiers, default configs</t>
  </si>
  <si>
    <t>Seed scripts (SQL or Python), idempotent (can run multiple times), validation, backup before seeding</t>
  </si>
  <si>
    <t>Demo Data</t>
  </si>
  <si>
    <t>Données de démonstration</t>
  </si>
  <si>
    <t>Demo accounts: Test users (various tiers), Test restaurants/bars/events
Purpose: Testing, demos, QA
Method: Faker library (Python) for realistic data
Environments: Dev, Staging (NOT production)
Volume: 100 venues, 1000 users, 500 bookings, 2000 posts</t>
  </si>
  <si>
    <t>All tables</t>
  </si>
  <si>
    <t>Realistic names, addresses, photos (Lorem Picsum), dates</t>
  </si>
  <si>
    <t>Faker scripts, randomization, referential integrity, photo placeholders, reset script for clean state</t>
  </si>
  <si>
    <t>ADMIN_INTERNAL</t>
  </si>
  <si>
    <t>Internal Admin Panel</t>
  </si>
  <si>
    <t>Écran (Internal)</t>
  </si>
  <si>
    <t>Dashboard admin LYFE</t>
  </si>
  <si>
    <t>Gérer utilisateurs: Voir, éditer, bannir, supprimer
Gérer venues: Approve, reject, edit, feature (boost)
Gérer événements: Moderate, approve, cancel
Voir analytics: KPIs dashboard, revenue, user growth
Modération contenu: Reviews, posts, media (approve/reject)
Support tickets: Voir, répondre, escalader
Gestion promotions: Créer codes promo, campagnes
Logs &amp; audit: User actions, admin actions, errors</t>
  </si>
  <si>
    <t>Separate admin web app (React)
Login admin → Dashboard → Sections management
Role-based access: Super admin, moderator, support, analyst</t>
  </si>
  <si>
    <t>GET /api/admin/users?search=&amp;status=
PUT /api/admin/users/{id}/ban
GET /api/admin/venues?status=pending|approved|rejected
PUT /api/admin/venues/{id}/approve
GET /api/admin/analytics/dashboard
GET /api/admin/moderation/queue
POST /api/admin/promo-codes {code, discount, expiry}
GET /api/admin/audit-logs</t>
  </si>
  <si>
    <t>Admin Service</t>
  </si>
  <si>
    <t>admin_users</t>
  </si>
  <si>
    <t>admin_id, username, role, permissions, last_login, created_at</t>
  </si>
  <si>
    <t>React admin panel (React Admin or custom), role-based auth, action logs, search/filters, bulk actions, export CSV, audit trail</t>
  </si>
  <si>
    <t>Content Moderation</t>
  </si>
  <si>
    <t>Modération IA + humaine</t>
  </si>
  <si>
    <t>Aucune UI utilisateur final
Admin panel: Queue moderation</t>
  </si>
  <si>
    <t>Upload media/post/review → AI scan (NSFW, hate speech) → Flagged si suspicious → Human review queue → Approve/Reject
Auto-approved if AI confidence high</t>
  </si>
  <si>
    <t>POST /api/moderation/scan {content_type, content_id}
GET /api/admin/moderation/queue?type=image|text
PUT /api/moderation/{id}/approve
PUT /api/moderation/{id}/reject {reason}</t>
  </si>
  <si>
    <t>Moderation Service</t>
  </si>
  <si>
    <t>moderation_queue</t>
  </si>
  <si>
    <t>item_id, content_type, content_id, ai_score, flagged, reviewed, action, reviewer_id, timestamp</t>
  </si>
  <si>
    <t>AWS Rekognition (images), OpenAI Moderation API (text), moderation queue, review UI, action logs, appeals process</t>
  </si>
  <si>
    <t>REVENUE_STREAMS</t>
  </si>
  <si>
    <t>Restaurant Listings</t>
  </si>
  <si>
    <t>Business Model</t>
  </si>
  <si>
    <t>Listings restaurants payants</t>
  </si>
  <si>
    <t>N/A (business decision)</t>
  </si>
  <si>
    <t>Tiers: Free (basic listing), Premium ($50/month - featured, photos, priority), Enterprise ($200/month - analytics, ads, top ranking)
Payment: Stripe Billing (subscriptions)
Features: Premium badge, higher search ranking, promoted in feed</t>
  </si>
  <si>
    <t>POST /api/business/subscribe {venue_id, tier}
PUT /api/business/subscription/{id}/upgrade
GET /api/business/subscription/{id}
Webhook: Stripe subscription events</t>
  </si>
  <si>
    <t>P3,Stripe Billing integration, subscription management, tier features enforcement, upgrade/downgrade flows, churn prevention</t>
  </si>
  <si>
    <t>Booking Commission</t>
  </si>
  <si>
    <t>Commission réservations</t>
  </si>
  <si>
    <t>N/A (automatic)</t>
  </si>
  <si>
    <t>Commission: 10-15% per booking (paid bookings only, not free reservations)
Calculation: Booking amount × commission rate
Split: Stripe Connect automatic transfer
Settlement: Weekly to restaurant accounts
Reporting: Monthly statements</t>
  </si>
  <si>
    <t>Automatic via Payment Service
GET /api/business/commissions?venue_id=&amp;period=
GET /api/business/statements/{month}</t>
  </si>
  <si>
    <t>P3,Already built in payment flow, reporting API, statement generation, dispute handling</t>
  </si>
  <si>
    <t>Event Ticketing Fee</t>
  </si>
  <si>
    <t>Frais billetterie événements</t>
  </si>
  <si>
    <t>Fee: Fixed $2 + 5% per ticket sold
Applied: At checkout (visible to user)
Split: LYFE receives fee, organizer receives net
Settlement: Weekly payouts to organizers
Reporting: Real-time sales dashboard for organizers</t>
  </si>
  <si>
    <t>Automatic via Payment Service
GET /api/business/events/{id}/revenue</t>
  </si>
  <si>
    <t>P3,Fee calculation transparent, included in ticket price display, revenue reporting</t>
  </si>
  <si>
    <t>Advertising Platform</t>
  </si>
  <si>
    <t>Publicité in-app (future)</t>
  </si>
  <si>
    <t>Banners sponsored dans feed
Promoted venues dans search
Stories ads</t>
  </si>
  <si>
    <t>Future ads SDK integration
Targeting: Location, interests, booking history
Formats: Native ads, banner, interstitial
Payment: CPM or CPC model</t>
  </si>
  <si>
    <t>Future endpoints for ad serving
Integration: Google AdMob or custom ad server</t>
  </si>
  <si>
    <t>Ad Service</t>
  </si>
  <si>
    <t>ad_campaigns</t>
  </si>
  <si>
    <t>campaign_id, advertiser_id, budget, targeting, creative, clicks, impressions</t>
  </si>
  <si>
    <t>AdMob SDK or custom ad server, targeting engine, impression tracking, click tracking, ad creative management, advertiser dashboard</t>
  </si>
  <si>
    <t>Influencer Program</t>
  </si>
  <si>
    <t>Fonctionnalité (Future)</t>
  </si>
  <si>
    <t>Programme influenceurs</t>
  </si>
  <si>
    <t>Demande influenceur (form)
Badges influenceur
Commission affiliation</t>
  </si>
  <si>
    <t>High-engagement users → Invite to influencer program → Perks (free bookings, commission referrals, verified badge)
Requirements: &gt;10k followers, &gt;100 reviews, high engagement</t>
  </si>
  <si>
    <t>POST /api/influencer/apply
GET /api/influencer/dashboard {referrals, earnings}
POST /api/influencer/referral-link {venue_id}</t>
  </si>
  <si>
    <t>Influencer Service</t>
  </si>
  <si>
    <t>influencer_accounts</t>
  </si>
  <si>
    <t>influencer_id, user_id, tier, commission_rate, referrals_count, earnings, status</t>
  </si>
  <si>
    <t>Application review, referral tracking, commission calculation, payout processing, influencer analytics, content requirements</t>
  </si>
  <si>
    <t>Group Bookings</t>
  </si>
  <si>
    <t>Réservations groupes</t>
  </si>
  <si>
    <t>Créer groupe
Inviter membres
Vote lieu/date
Split payment</t>
  </si>
  <si>
    <t>User creates group → Invites friends → Group votes on venue/date → Coordinator books → Payment split options
Use case: Birthday parties, team dinners</t>
  </si>
  <si>
    <t>POST /api/groups {name, members}
POST /api/groups/{id}/poll {venues, dates}
GET /api/groups/{id}/votes
POST /api/bookings/group {group_id, venue_id, split_payment}</t>
  </si>
  <si>
    <t>Group Service</t>
  </si>
  <si>
    <t>booking_groups</t>
  </si>
  <si>
    <t>group_id, organizer_id, members, poll_id, booking_id, created_at</t>
  </si>
  <si>
    <t>Group management, polling system, notifications, split payment (Stripe multiple destinations), group chat (optional)</t>
  </si>
  <si>
    <t>Waitlist Management</t>
  </si>
  <si>
    <t>Liste d'attente restaurants</t>
  </si>
  <si>
    <t>Rejoindre waitlist (si complet)
Notification quand disponible</t>
  </si>
  <si>
    <t>Venue fully booked → Join waitlist option → User notified if cancellation → Book within 15min or offer expires
For restaurants: Maximize occupancy, reduce no-shows</t>
  </si>
  <si>
    <t>POST /api/bookings/{venue_id}/waitlist {date, time, guests}
System: Monitor cancellations → Notify waitlist (FIFO)
POST /api/bookings/waitlist/{id}/claim</t>
  </si>
  <si>
    <t>booking_waitlist</t>
  </si>
  <si>
    <t>waitlist_id, user_id, venue_id, date_time, guests, position, notified, claimed, expires_at</t>
  </si>
  <si>
    <t>Waitlist queue (Redis sorted set), cancellation listener, push notifications, expiration timer, claim endpoint</t>
  </si>
  <si>
    <t>Virtual Tours</t>
  </si>
  <si>
    <t>Visites virtuelles 360°</t>
  </si>
  <si>
    <t>Voir visite virtuelle 360°
Navigation intérieure restaurant</t>
  </si>
  <si>
    <t>Venue detail → Virtual tour button → 360° viewer (Matterport embed or custom)
For venues: Premium feature, attract customers
For users: Preview ambiance before booking</t>
  </si>
  <si>
    <t>GET /api/venues/{id}/virtual-tour
Response: {tour_url, provider: 'matterport'}
Embed: iframe in venue detail</t>
  </si>
  <si>
    <t>venue_virtual_tours</t>
  </si>
  <si>
    <t>tour_id, venue_id, tour_url, provider, created_at</t>
  </si>
  <si>
    <t>Matterport embed, 360° viewer library, upload flow for venues, storage costs, premium feature gate</t>
  </si>
  <si>
    <t>Table Selection</t>
  </si>
  <si>
    <t>Sélection table interactive</t>
  </si>
  <si>
    <t>Choisir table sur plan interactif
Préférences: Fenêtre, terrasse, calme</t>
  </si>
  <si>
    <t>Booking flow → Table selection step → Interactive floor plan → Select preferred table → Book
For restaurants: Optimize seating, customer preference
For users: Control experience</t>
  </si>
  <si>
    <t>GET /api/venues/{id}/floor-plan
POST /api/bookings {venue_id, table_id, ...}
PUT /api/business/venues/{id}/floor-plan {table_layout}</t>
  </si>
  <si>
    <t>venue_tables</t>
  </si>
  <si>
    <t>table_id, venue_id, table_number, seats, location_x, location_y, attributes, available</t>
  </si>
  <si>
    <t>Floor plan editor (business app), interactive SVG renderer, table availability real-time, collision detection, preference matching algorithm</t>
  </si>
  <si>
    <t>Dietary Filters Advanced</t>
  </si>
  <si>
    <t>Filtres alimentaires avancés</t>
  </si>
  <si>
    <t>Filtrer: Vegan, Halal, Kosher, Gluten-free, etc.
Sauvegarder préférences alimentaires
Alert ingrédients</t>
  </si>
  <si>
    <t>Search/filters → Dietary filters → Venues matching criteria
Profile → Dietary preferences → Saved → Auto-applied to searches
Venue detail → Dish ingredients → Allergen alerts</t>
  </si>
  <si>
    <t>GET /api/venues/restaurants?dietary=vegan,halal
GET /api/restaurants/{id}/menu-items?dietary_filter=
PUT /api/users/{id}/dietary-preferences {preferences}</t>
  </si>
  <si>
    <t>restaurant_menu_items</t>
  </si>
  <si>
    <t>item_id, venue_id, name, description, price, dietary_tags, allergens, ingredients</t>
  </si>
  <si>
    <t>Dietary taxonomy, menu item tagging (manual or AI extraction), user preferences, filter logic, allergen warnings</t>
  </si>
  <si>
    <t>Live Occupancy</t>
  </si>
  <si>
    <t>Occupation en temps réel</t>
  </si>
  <si>
    <t>Badge: Quiet / Moderate / Busy
Historique patterns occupation</t>
  </si>
  <si>
    <t>Venue detail → Live occupancy badge
Based on: Current bookings, check-ins, historical data (ML model)
For users: Avoid crowds or find busy spots
For venues: Transparent capacity</t>
  </si>
  <si>
    <t>GET /api/venues/{id}/occupancy
Response: {level: 'quiet'|'moderate'|'busy', confidence, updated_at}
ML: Predict occupancy based on time/day/season</t>
  </si>
  <si>
    <t>venue_occupancy_history</t>
  </si>
  <si>
    <t>log_id, venue_id, timestamp, occupancy_level, bookings_count, checkins_count</t>
  </si>
  <si>
    <t>ML model (time-series prediction), real-time data aggregation, occupancy calculation, historical patterns, cache (Redis)</t>
  </si>
  <si>
    <t>Smart Recommendations</t>
  </si>
  <si>
    <t>Recommandations ML avancées</t>
  </si>
  <si>
    <t>Section 'For You' personnalisée feed
Notifications proactives suggestions</t>
  </si>
  <si>
    <t>ML model: Collaborative filtering + content-based
Features: User history, ratings, friends' activity, location, time, weather
Output: Personalized venue recommendations
Retrain: Weekly with new data</t>
  </si>
  <si>
    <t>GET /api/recommendations?user_id=
ML pipeline: Feature extraction → Model inference → Ranking
A/B testing: Measure CTR, conversion vs baseline</t>
  </si>
  <si>
    <t>recommendation_model_features</t>
  </si>
  <si>
    <t>user_id, feature_vector, last_updated</t>
  </si>
  <si>
    <t>ML model (scikit-learn, TensorFlow), feature engineering, model training pipeline, A/B testing framework, online serving (low latency)</t>
  </si>
  <si>
    <t xml:space="preserve"> / AWS API Gateway
Routes: /api/auth/*, /api/venues/*, etc. → Backend services
Rate limiting: 100 req/min per user
Authentication: JWT validation
Load balancing</t>
  </si>
  <si>
    <t>Estimation Totale</t>
  </si>
  <si>
    <t>payment_commissions
Already covered</t>
  </si>
  <si>
    <t>business_subscriptions
subscription_id, venue_id, tier, price, status, current_period_end, stripe_subscription_id</t>
  </si>
  <si>
    <t>payment_commissions
Already covered in Payment Service</t>
  </si>
  <si>
    <t xml:space="preserve">Total </t>
  </si>
  <si>
    <t>Tests d'integration</t>
  </si>
  <si>
    <t>Documentation</t>
  </si>
  <si>
    <t xml:space="preserve">MEP and Hypercare </t>
  </si>
  <si>
    <t>Pilotage</t>
  </si>
  <si>
    <t>Réservation restaurant/Drink multi-étapes</t>
  </si>
  <si>
    <t xml:space="preserve">Simple </t>
  </si>
  <si>
    <t xml:space="preserve">LYFE Agent Basic
</t>
  </si>
  <si>
    <t>FEATURES_FUTUR</t>
  </si>
  <si>
    <t>Version</t>
  </si>
  <si>
    <t>Beta</t>
  </si>
  <si>
    <t xml:space="preserve">Beta </t>
  </si>
  <si>
    <t>MVP</t>
  </si>
  <si>
    <t>Beta (entre nous et amis proche)</t>
  </si>
  <si>
    <t>Beta (confirmation de reservation, noter le restaurant après la confirmation du restaurateur, + après uen heure du rendez vous )</t>
  </si>
  <si>
    <t>Prix HT</t>
  </si>
  <si>
    <t>TJM HT</t>
  </si>
  <si>
    <t>Activité</t>
  </si>
  <si>
    <t>Développement</t>
  </si>
  <si>
    <t>Infra As Code</t>
  </si>
  <si>
    <t>Event</t>
  </si>
  <si>
    <t>Estimation TMA</t>
  </si>
  <si>
    <t>TMA</t>
  </si>
  <si>
    <t>SysOps</t>
  </si>
  <si>
    <t>BETA</t>
  </si>
  <si>
    <t>Offerte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</si>
</sst>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MAD]_-;\-* #,##0.00\ [$MAD]_-;_-* &quot;-&quot;??\ [$MAD]_-;_-@_-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6F3FF"/>
        <bgColor rgb="FFE6F3FF"/>
      </patternFill>
    </fill>
    <fill>
      <patternFill patternType="solid">
        <fgColor rgb="FFFFE6E6"/>
        <bgColor rgb="FFFFE6E6"/>
      </patternFill>
    </fill>
    <fill>
      <patternFill patternType="solid">
        <fgColor rgb="FFE6FFE6"/>
        <bgColor rgb="FFE6FFE6"/>
      </patternFill>
    </fill>
    <fill>
      <patternFill patternType="solid">
        <fgColor rgb="FFFFF4E6"/>
        <bgColor rgb="FFFFF4E6"/>
      </patternFill>
    </fill>
    <fill>
      <patternFill patternType="solid">
        <fgColor rgb="FFF0E6FF"/>
        <bgColor rgb="FFF0E6FF"/>
      </patternFill>
    </fill>
    <fill>
      <patternFill patternType="solid">
        <fgColor rgb="FFFFE6F0"/>
        <bgColor rgb="FFFFE6F0"/>
      </patternFill>
    </fill>
    <fill>
      <patternFill patternType="solid">
        <fgColor rgb="FFE6FFFF"/>
        <bgColor rgb="FFE6FFFF"/>
      </patternFill>
    </fill>
    <fill>
      <patternFill patternType="solid">
        <fgColor rgb="FFFFFFE6"/>
        <bgColor rgb="FFFFFFE6"/>
      </patternFill>
    </fill>
    <fill>
      <patternFill patternType="solid">
        <fgColor rgb="FFFFE6CC"/>
        <bgColor rgb="FFFFE6CC"/>
      </patternFill>
    </fill>
    <fill>
      <patternFill patternType="solid">
        <fgColor rgb="FFE6F0FF"/>
        <bgColor rgb="FFE6F0FF"/>
      </patternFill>
    </fill>
    <fill>
      <patternFill patternType="solid">
        <fgColor rgb="FFF5E6FF"/>
        <bgColor rgb="FFF5E6FF"/>
      </patternFill>
    </fill>
    <fill>
      <patternFill patternType="solid">
        <fgColor rgb="FFE6FFE8"/>
        <bgColor rgb="FFE6FFE8"/>
      </patternFill>
    </fill>
    <fill>
      <patternFill patternType="solid">
        <fgColor rgb="FFFFE8E6"/>
        <bgColor rgb="FFFFE8E6"/>
      </patternFill>
    </fill>
    <fill>
      <patternFill patternType="solid">
        <fgColor rgb="FFE8E6FF"/>
        <bgColor rgb="FFE8E6FF"/>
      </patternFill>
    </fill>
    <fill>
      <patternFill patternType="solid">
        <fgColor rgb="FFFFFFE8"/>
        <bgColor rgb="FFFFFFE8"/>
      </patternFill>
    </fill>
    <fill>
      <patternFill patternType="solid">
        <fgColor rgb="FFE6FFF5"/>
        <bgColor rgb="FFE6FFF5"/>
      </patternFill>
    </fill>
    <fill>
      <patternFill patternType="solid">
        <fgColor rgb="FFE6FFCC"/>
        <bgColor rgb="FFE6FFCC"/>
      </patternFill>
    </fill>
    <fill>
      <patternFill patternType="solid">
        <fgColor rgb="FFCCE6FF"/>
        <bgColor rgb="FFCCE6FF"/>
      </patternFill>
    </fill>
    <fill>
      <patternFill patternType="solid">
        <fgColor rgb="FFFFCCE6"/>
        <bgColor rgb="FFFFCCE6"/>
      </patternFill>
    </fill>
    <fill>
      <patternFill patternType="solid">
        <fgColor rgb="FFD9D9D9"/>
        <bgColor rgb="FFD9D9D9"/>
      </patternFill>
    </fill>
    <fill>
      <patternFill patternType="solid">
        <fgColor rgb="FFC0C0C0"/>
        <bgColor rgb="FFC0C0C0"/>
      </patternFill>
    </fill>
    <fill>
      <patternFill patternType="solid">
        <fgColor rgb="FFFFE6B3"/>
        <bgColor rgb="FFFFE6B3"/>
      </patternFill>
    </fill>
    <fill>
      <patternFill patternType="solid">
        <fgColor rgb="FFFFB3B3"/>
        <bgColor rgb="FFFFB3B3"/>
      </patternFill>
    </fill>
    <fill>
      <patternFill patternType="solid">
        <fgColor rgb="FFB3FFB3"/>
        <bgColor rgb="FFB3FFB3"/>
      </patternFill>
    </fill>
    <fill>
      <patternFill patternType="solid">
        <fgColor rgb="FFB3E6FF"/>
        <bgColor rgb="FFB3E6FF"/>
      </patternFill>
    </fill>
    <fill>
      <patternFill patternType="solid">
        <fgColor rgb="FFFFFF00"/>
        <bgColor rgb="FFFFCCE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6F3FF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9" borderId="0" xfId="0" applyFill="1"/>
    <xf numFmtId="0" fontId="4" fillId="31" borderId="1" xfId="0" applyFont="1" applyFill="1" applyBorder="1"/>
    <xf numFmtId="165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2" fontId="0" fillId="30" borderId="4" xfId="0" applyNumberForma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3" fillId="7" borderId="4" xfId="0" applyFont="1" applyFill="1" applyBorder="1" applyAlignment="1">
      <alignment horizontal="left" vertical="top" wrapText="1"/>
    </xf>
    <xf numFmtId="0" fontId="0" fillId="7" borderId="4" xfId="0" applyFill="1" applyBorder="1" applyAlignment="1">
      <alignment horizontal="left" vertical="top" wrapText="1"/>
    </xf>
    <xf numFmtId="0" fontId="3" fillId="8" borderId="4" xfId="0" applyFont="1" applyFill="1" applyBorder="1" applyAlignment="1">
      <alignment horizontal="left" vertical="top" wrapText="1"/>
    </xf>
    <xf numFmtId="0" fontId="0" fillId="8" borderId="4" xfId="0" applyFill="1" applyBorder="1" applyAlignment="1">
      <alignment horizontal="left" vertical="top" wrapText="1"/>
    </xf>
    <xf numFmtId="2" fontId="0" fillId="3" borderId="4" xfId="0" applyNumberForma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top" wrapText="1"/>
    </xf>
    <xf numFmtId="0" fontId="0" fillId="9" borderId="4" xfId="0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top" wrapText="1"/>
    </xf>
    <xf numFmtId="0" fontId="0" fillId="10" borderId="4" xfId="0" applyFill="1" applyBorder="1" applyAlignment="1">
      <alignment horizontal="left" vertical="top" wrapText="1"/>
    </xf>
    <xf numFmtId="0" fontId="3" fillId="11" borderId="4" xfId="0" applyFont="1" applyFill="1" applyBorder="1" applyAlignment="1">
      <alignment horizontal="left" vertical="top" wrapText="1"/>
    </xf>
    <xf numFmtId="0" fontId="0" fillId="11" borderId="4" xfId="0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0" fillId="12" borderId="4" xfId="0" applyFill="1" applyBorder="1" applyAlignment="1">
      <alignment horizontal="left" vertical="top" wrapText="1"/>
    </xf>
    <xf numFmtId="0" fontId="3" fillId="13" borderId="4" xfId="0" applyFont="1" applyFill="1" applyBorder="1" applyAlignment="1">
      <alignment horizontal="left" vertical="top" wrapText="1"/>
    </xf>
    <xf numFmtId="0" fontId="0" fillId="13" borderId="4" xfId="0" applyFill="1" applyBorder="1" applyAlignment="1">
      <alignment horizontal="left" vertical="top" wrapText="1"/>
    </xf>
    <xf numFmtId="0" fontId="3" fillId="14" borderId="4" xfId="0" applyFont="1" applyFill="1" applyBorder="1" applyAlignment="1">
      <alignment horizontal="left" vertical="top" wrapText="1"/>
    </xf>
    <xf numFmtId="0" fontId="0" fillId="14" borderId="4" xfId="0" applyFill="1" applyBorder="1" applyAlignment="1">
      <alignment horizontal="left" vertical="top" wrapText="1"/>
    </xf>
    <xf numFmtId="0" fontId="3" fillId="15" borderId="4" xfId="0" applyFont="1" applyFill="1" applyBorder="1" applyAlignment="1">
      <alignment horizontal="left" vertical="top" wrapText="1"/>
    </xf>
    <xf numFmtId="0" fontId="0" fillId="15" borderId="4" xfId="0" applyFill="1" applyBorder="1" applyAlignment="1">
      <alignment horizontal="left" vertical="top" wrapText="1"/>
    </xf>
    <xf numFmtId="0" fontId="3" fillId="16" borderId="4" xfId="0" applyFont="1" applyFill="1" applyBorder="1" applyAlignment="1">
      <alignment horizontal="left" vertical="top" wrapText="1"/>
    </xf>
    <xf numFmtId="0" fontId="0" fillId="16" borderId="4" xfId="0" applyFill="1" applyBorder="1" applyAlignment="1">
      <alignment horizontal="left" vertical="top" wrapText="1"/>
    </xf>
    <xf numFmtId="0" fontId="3" fillId="17" borderId="4" xfId="0" applyFont="1" applyFill="1" applyBorder="1" applyAlignment="1">
      <alignment horizontal="left" vertical="top" wrapText="1"/>
    </xf>
    <xf numFmtId="0" fontId="0" fillId="17" borderId="4" xfId="0" applyFill="1" applyBorder="1" applyAlignment="1">
      <alignment horizontal="left" vertical="top" wrapText="1"/>
    </xf>
    <xf numFmtId="0" fontId="3" fillId="18" borderId="4" xfId="0" applyFont="1" applyFill="1" applyBorder="1" applyAlignment="1">
      <alignment horizontal="left" vertical="top" wrapText="1"/>
    </xf>
    <xf numFmtId="0" fontId="0" fillId="18" borderId="4" xfId="0" applyFill="1" applyBorder="1" applyAlignment="1">
      <alignment horizontal="left" vertical="top" wrapText="1"/>
    </xf>
    <xf numFmtId="0" fontId="3" fillId="19" borderId="4" xfId="0" applyFont="1" applyFill="1" applyBorder="1" applyAlignment="1">
      <alignment horizontal="left" vertical="top" wrapText="1"/>
    </xf>
    <xf numFmtId="0" fontId="0" fillId="19" borderId="4" xfId="0" applyFill="1" applyBorder="1" applyAlignment="1">
      <alignment horizontal="left" vertical="top" wrapText="1"/>
    </xf>
    <xf numFmtId="0" fontId="3" fillId="20" borderId="4" xfId="0" applyFont="1" applyFill="1" applyBorder="1" applyAlignment="1">
      <alignment horizontal="left" vertical="top" wrapText="1"/>
    </xf>
    <xf numFmtId="0" fontId="0" fillId="20" borderId="4" xfId="0" applyFill="1" applyBorder="1" applyAlignment="1">
      <alignment horizontal="left" vertical="top" wrapText="1"/>
    </xf>
    <xf numFmtId="0" fontId="3" fillId="28" borderId="4" xfId="0" applyFont="1" applyFill="1" applyBorder="1" applyAlignment="1">
      <alignment horizontal="left" vertical="top" wrapText="1"/>
    </xf>
    <xf numFmtId="0" fontId="0" fillId="28" borderId="4" xfId="0" applyFill="1" applyBorder="1" applyAlignment="1">
      <alignment horizontal="left" vertical="top" wrapText="1"/>
    </xf>
    <xf numFmtId="0" fontId="2" fillId="21" borderId="4" xfId="0" applyFont="1" applyFill="1" applyBorder="1" applyAlignment="1">
      <alignment horizontal="left" vertical="top" wrapText="1"/>
    </xf>
    <xf numFmtId="0" fontId="3" fillId="21" borderId="4" xfId="0" applyFont="1" applyFill="1" applyBorder="1" applyAlignment="1">
      <alignment horizontal="left" vertical="top" wrapText="1"/>
    </xf>
    <xf numFmtId="0" fontId="0" fillId="21" borderId="4" xfId="0" applyFill="1" applyBorder="1" applyAlignment="1">
      <alignment horizontal="left" vertical="top" wrapText="1"/>
    </xf>
    <xf numFmtId="0" fontId="3" fillId="22" borderId="4" xfId="0" applyFont="1" applyFill="1" applyBorder="1" applyAlignment="1">
      <alignment horizontal="left" vertical="top" wrapText="1"/>
    </xf>
    <xf numFmtId="0" fontId="0" fillId="22" borderId="4" xfId="0" applyFill="1" applyBorder="1" applyAlignment="1">
      <alignment horizontal="left" vertical="top" wrapText="1"/>
    </xf>
    <xf numFmtId="0" fontId="3" fillId="23" borderId="4" xfId="0" applyFont="1" applyFill="1" applyBorder="1" applyAlignment="1">
      <alignment horizontal="left" vertical="top" wrapText="1"/>
    </xf>
    <xf numFmtId="0" fontId="0" fillId="23" borderId="4" xfId="0" applyFill="1" applyBorder="1" applyAlignment="1">
      <alignment horizontal="left" vertical="top" wrapText="1"/>
    </xf>
    <xf numFmtId="0" fontId="3" fillId="24" borderId="4" xfId="0" applyFont="1" applyFill="1" applyBorder="1" applyAlignment="1">
      <alignment horizontal="left" vertical="top" wrapText="1"/>
    </xf>
    <xf numFmtId="0" fontId="0" fillId="24" borderId="4" xfId="0" applyFill="1" applyBorder="1" applyAlignment="1">
      <alignment horizontal="left" vertical="top" wrapText="1"/>
    </xf>
    <xf numFmtId="0" fontId="3" fillId="25" borderId="4" xfId="0" applyFont="1" applyFill="1" applyBorder="1" applyAlignment="1">
      <alignment horizontal="left" vertical="top" wrapText="1"/>
    </xf>
    <xf numFmtId="0" fontId="0" fillId="25" borderId="4" xfId="0" applyFill="1" applyBorder="1" applyAlignment="1">
      <alignment horizontal="left" vertical="top" wrapText="1"/>
    </xf>
    <xf numFmtId="0" fontId="3" fillId="26" borderId="4" xfId="0" applyFont="1" applyFill="1" applyBorder="1" applyAlignment="1">
      <alignment horizontal="left" vertical="top" wrapText="1"/>
    </xf>
    <xf numFmtId="0" fontId="0" fillId="26" borderId="4" xfId="0" applyFill="1" applyBorder="1" applyAlignment="1">
      <alignment horizontal="left" vertical="top" wrapText="1"/>
    </xf>
    <xf numFmtId="0" fontId="3" fillId="27" borderId="4" xfId="0" applyFont="1" applyFill="1" applyBorder="1" applyAlignment="1">
      <alignment horizontal="left" vertical="top" wrapText="1"/>
    </xf>
    <xf numFmtId="0" fontId="0" fillId="27" borderId="4" xfId="0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4" borderId="4" xfId="0" applyFont="1" applyFill="1" applyBorder="1" applyAlignment="1">
      <alignment horizontal="left" vertical="top" wrapText="1"/>
    </xf>
    <xf numFmtId="0" fontId="2" fillId="5" borderId="4" xfId="0" applyFont="1" applyFill="1" applyBorder="1" applyAlignment="1">
      <alignment horizontal="left" vertical="top" wrapText="1"/>
    </xf>
    <xf numFmtId="0" fontId="2" fillId="6" borderId="4" xfId="0" applyFont="1" applyFill="1" applyBorder="1" applyAlignment="1">
      <alignment horizontal="left" vertical="top" wrapText="1"/>
    </xf>
    <xf numFmtId="0" fontId="2" fillId="7" borderId="4" xfId="0" applyFont="1" applyFill="1" applyBorder="1" applyAlignment="1">
      <alignment horizontal="left" vertical="top" wrapText="1"/>
    </xf>
    <xf numFmtId="0" fontId="2" fillId="8" borderId="4" xfId="0" applyFont="1" applyFill="1" applyBorder="1" applyAlignment="1">
      <alignment horizontal="left" vertical="top" wrapText="1"/>
    </xf>
    <xf numFmtId="0" fontId="2" fillId="19" borderId="4" xfId="0" applyFont="1" applyFill="1" applyBorder="1" applyAlignment="1">
      <alignment horizontal="left" vertical="top" wrapText="1"/>
    </xf>
    <xf numFmtId="0" fontId="2" fillId="9" borderId="4" xfId="0" applyFont="1" applyFill="1" applyBorder="1" applyAlignment="1">
      <alignment horizontal="left" vertical="top" wrapText="1"/>
    </xf>
    <xf numFmtId="0" fontId="2" fillId="10" borderId="4" xfId="0" applyFont="1" applyFill="1" applyBorder="1" applyAlignment="1">
      <alignment horizontal="left" vertical="top" wrapText="1"/>
    </xf>
    <xf numFmtId="0" fontId="2" fillId="11" borderId="4" xfId="0" applyFont="1" applyFill="1" applyBorder="1" applyAlignment="1">
      <alignment horizontal="left" vertical="top" wrapText="1"/>
    </xf>
    <xf numFmtId="0" fontId="2" fillId="12" borderId="4" xfId="0" applyFont="1" applyFill="1" applyBorder="1" applyAlignment="1">
      <alignment horizontal="left" vertical="top" wrapText="1"/>
    </xf>
    <xf numFmtId="0" fontId="2" fillId="13" borderId="4" xfId="0" applyFont="1" applyFill="1" applyBorder="1" applyAlignment="1">
      <alignment horizontal="left" vertical="top" wrapText="1"/>
    </xf>
    <xf numFmtId="0" fontId="2" fillId="14" borderId="4" xfId="0" applyFont="1" applyFill="1" applyBorder="1" applyAlignment="1">
      <alignment horizontal="left" vertical="top" wrapText="1"/>
    </xf>
    <xf numFmtId="0" fontId="2" fillId="15" borderId="4" xfId="0" applyFont="1" applyFill="1" applyBorder="1" applyAlignment="1">
      <alignment horizontal="left" vertical="top" wrapText="1"/>
    </xf>
    <xf numFmtId="0" fontId="2" fillId="16" borderId="4" xfId="0" applyFont="1" applyFill="1" applyBorder="1" applyAlignment="1">
      <alignment horizontal="left" vertical="top" wrapText="1"/>
    </xf>
    <xf numFmtId="0" fontId="2" fillId="17" borderId="4" xfId="0" applyFont="1" applyFill="1" applyBorder="1" applyAlignment="1">
      <alignment horizontal="left" vertical="top" wrapText="1"/>
    </xf>
    <xf numFmtId="0" fontId="2" fillId="18" borderId="4" xfId="0" applyFont="1" applyFill="1" applyBorder="1" applyAlignment="1">
      <alignment horizontal="left" vertical="top" wrapText="1"/>
    </xf>
    <xf numFmtId="0" fontId="2" fillId="24" borderId="4" xfId="0" applyFont="1" applyFill="1" applyBorder="1" applyAlignment="1">
      <alignment horizontal="left" vertical="top" wrapText="1"/>
    </xf>
    <xf numFmtId="0" fontId="2" fillId="25" borderId="4" xfId="0" applyFont="1" applyFill="1" applyBorder="1" applyAlignment="1">
      <alignment horizontal="left" vertical="top" wrapText="1"/>
    </xf>
    <xf numFmtId="0" fontId="2" fillId="26" borderId="4" xfId="0" applyFont="1" applyFill="1" applyBorder="1" applyAlignment="1">
      <alignment horizontal="left" vertical="top" wrapText="1"/>
    </xf>
    <xf numFmtId="0" fontId="2" fillId="27" borderId="4" xfId="0" applyFont="1" applyFill="1" applyBorder="1" applyAlignment="1">
      <alignment horizontal="left" vertical="top" wrapText="1"/>
    </xf>
    <xf numFmtId="0" fontId="2" fillId="20" borderId="4" xfId="0" applyFont="1" applyFill="1" applyBorder="1" applyAlignment="1">
      <alignment horizontal="left" vertical="top" wrapText="1"/>
    </xf>
    <xf numFmtId="0" fontId="2" fillId="28" borderId="4" xfId="0" applyFont="1" applyFill="1" applyBorder="1" applyAlignment="1">
      <alignment horizontal="left" vertical="top" wrapText="1"/>
    </xf>
    <xf numFmtId="0" fontId="2" fillId="22" borderId="4" xfId="0" applyFont="1" applyFill="1" applyBorder="1" applyAlignment="1">
      <alignment horizontal="left" vertical="top" wrapText="1"/>
    </xf>
    <xf numFmtId="0" fontId="2" fillId="2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numFmt numFmtId="165" formatCode="0.0"/>
    </dxf>
    <dxf>
      <numFmt numFmtId="165" formatCode="0.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949909</xdr:colOff>
      <xdr:row>5</xdr:row>
      <xdr:rowOff>43189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D1086DB5-4EB2-4DCC-185E-9FB81BE57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18409" cy="9639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1F75B9-AE6D-42E4-8DB2-3D1B4F920BA3}" name="Tableau1" displayName="Tableau1" ref="A8:E15" totalsRowShown="0">
  <autoFilter ref="A8:E15" xr:uid="{C01F75B9-AE6D-42E4-8DB2-3D1B4F920BA3}"/>
  <tableColumns count="5">
    <tableColumn id="1" xr3:uid="{4550DC5D-9A89-4A75-9652-5B058DA06BD6}" name="Activité"/>
    <tableColumn id="2" xr3:uid="{B00C2A3F-586B-4022-81F6-62AC411C4858}" name="Total " dataDxfId="1"/>
    <tableColumn id="3" xr3:uid="{22234C9C-FF0F-4458-A9F3-50806F77F3F2}" name="BETA"/>
    <tableColumn id="4" xr3:uid="{80D3BE32-AFE2-4C2A-B8B5-4BBE282F4830}" name="MVP"/>
    <tableColumn id="5" xr3:uid="{51117134-78DE-4E59-A583-1C215AD237B3}" name="Event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6168F0-719D-4BE9-9287-93432052836E}" name="Tableau13" displayName="Tableau13" ref="A25:B29" totalsRowShown="0">
  <autoFilter ref="A25:B29" xr:uid="{EF6168F0-719D-4BE9-9287-93432052836E}"/>
  <tableColumns count="2">
    <tableColumn id="1" xr3:uid="{31CD1AC9-61D9-4D32-9EB6-658F85E7C2FB}" name="Activité"/>
    <tableColumn id="2" xr3:uid="{2B2C84AA-BC0D-4211-AF74-85B652F02EFD}" name="Total 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0682-B921-4058-81C0-50FE6EC4660B}">
  <dimension ref="A8:E33"/>
  <sheetViews>
    <sheetView showGridLines="0" tabSelected="1" workbookViewId="0">
      <selection activeCell="A8" sqref="A8"/>
    </sheetView>
  </sheetViews>
  <sheetFormatPr baseColWidth="10" defaultRowHeight="14.5" x14ac:dyDescent="0.35"/>
  <cols>
    <col min="1" max="1" width="28.1796875" customWidth="1"/>
    <col min="2" max="4" width="15.6328125" bestFit="1" customWidth="1"/>
    <col min="5" max="5" width="14.6328125" bestFit="1" customWidth="1"/>
  </cols>
  <sheetData>
    <row r="8" spans="1:5" x14ac:dyDescent="0.35">
      <c r="A8" t="s">
        <v>693</v>
      </c>
      <c r="B8" t="s">
        <v>676</v>
      </c>
      <c r="C8" t="s">
        <v>700</v>
      </c>
      <c r="D8" t="s">
        <v>688</v>
      </c>
      <c r="E8" t="s">
        <v>696</v>
      </c>
    </row>
    <row r="9" spans="1:5" x14ac:dyDescent="0.35">
      <c r="A9" t="s">
        <v>694</v>
      </c>
      <c r="B9" s="3">
        <f>SUM('Spécifications Chiffrage Dét.'!O2:O88)</f>
        <v>406.05</v>
      </c>
      <c r="C9">
        <v>214</v>
      </c>
      <c r="D9">
        <v>151.9</v>
      </c>
      <c r="E9">
        <v>40.200000000000003</v>
      </c>
    </row>
    <row r="10" spans="1:5" x14ac:dyDescent="0.35">
      <c r="A10" t="s">
        <v>695</v>
      </c>
      <c r="B10" s="3">
        <v>20</v>
      </c>
      <c r="C10">
        <v>20</v>
      </c>
    </row>
    <row r="11" spans="1:5" x14ac:dyDescent="0.35">
      <c r="A11" t="s">
        <v>677</v>
      </c>
      <c r="B11" s="3">
        <f>10%*B9</f>
        <v>40.605000000000004</v>
      </c>
      <c r="C11" s="3">
        <f>10%*C9</f>
        <v>21.400000000000002</v>
      </c>
      <c r="D11" s="3">
        <f>10%*D9</f>
        <v>15.190000000000001</v>
      </c>
      <c r="E11" s="3">
        <f>10%*E9</f>
        <v>4.0200000000000005</v>
      </c>
    </row>
    <row r="12" spans="1:5" x14ac:dyDescent="0.35">
      <c r="A12" t="s">
        <v>678</v>
      </c>
      <c r="B12" s="3">
        <f>2%*B9</f>
        <v>8.1210000000000004</v>
      </c>
      <c r="C12" s="3">
        <f t="shared" ref="C12:E12" si="0">2%*C9</f>
        <v>4.28</v>
      </c>
      <c r="D12" s="3">
        <f t="shared" si="0"/>
        <v>3.0380000000000003</v>
      </c>
      <c r="E12" s="3">
        <f t="shared" si="0"/>
        <v>0.80400000000000005</v>
      </c>
    </row>
    <row r="13" spans="1:5" x14ac:dyDescent="0.35">
      <c r="A13" t="s">
        <v>679</v>
      </c>
      <c r="B13" s="3">
        <f>3%*B9</f>
        <v>12.1815</v>
      </c>
      <c r="C13" s="3"/>
      <c r="D13" s="3">
        <v>11</v>
      </c>
      <c r="E13" s="3">
        <f t="shared" ref="C13:E13" si="1">3%*E9</f>
        <v>1.206</v>
      </c>
    </row>
    <row r="14" spans="1:5" x14ac:dyDescent="0.35">
      <c r="A14" t="s">
        <v>680</v>
      </c>
      <c r="B14" s="3">
        <f>12%*SUM(B9:B13)</f>
        <v>58.434899999999999</v>
      </c>
      <c r="C14" s="3">
        <f t="shared" ref="C14:E14" si="2">12%*SUM(C9:C13)</f>
        <v>31.1616</v>
      </c>
      <c r="D14" s="3">
        <f t="shared" si="2"/>
        <v>21.73536</v>
      </c>
      <c r="E14" s="3">
        <f t="shared" si="2"/>
        <v>5.547600000000001</v>
      </c>
    </row>
    <row r="15" spans="1:5" x14ac:dyDescent="0.35">
      <c r="A15" t="s">
        <v>676</v>
      </c>
      <c r="B15" s="3">
        <f>SUM(B9:B14)</f>
        <v>545.39239999999995</v>
      </c>
      <c r="C15" s="3">
        <f t="shared" ref="C15:E15" si="3">SUM(C9:C14)</f>
        <v>290.84160000000003</v>
      </c>
      <c r="D15" s="3">
        <f t="shared" si="3"/>
        <v>202.86336</v>
      </c>
      <c r="E15" s="3">
        <f t="shared" si="3"/>
        <v>51.777600000000014</v>
      </c>
    </row>
    <row r="16" spans="1:5" x14ac:dyDescent="0.35">
      <c r="B16" s="3"/>
    </row>
    <row r="17" spans="1:5" x14ac:dyDescent="0.35">
      <c r="A17" s="2" t="s">
        <v>692</v>
      </c>
      <c r="B17" s="5">
        <v>1632.99</v>
      </c>
    </row>
    <row r="19" spans="1:5" x14ac:dyDescent="0.35">
      <c r="A19" s="2" t="s">
        <v>691</v>
      </c>
      <c r="B19" s="4">
        <f>SUM(C19:E19)</f>
        <v>806215.26263040002</v>
      </c>
      <c r="C19" s="4">
        <f t="shared" ref="C19:E19" si="4">C15*$B$17</f>
        <v>474941.42438400007</v>
      </c>
      <c r="D19" s="4">
        <f t="shared" si="4"/>
        <v>331273.8382464</v>
      </c>
      <c r="E19" s="5" t="s">
        <v>701</v>
      </c>
    </row>
    <row r="23" spans="1:5" x14ac:dyDescent="0.35">
      <c r="A23" s="2" t="s">
        <v>697</v>
      </c>
    </row>
    <row r="25" spans="1:5" x14ac:dyDescent="0.35">
      <c r="A25" t="s">
        <v>693</v>
      </c>
      <c r="B25" t="s">
        <v>676</v>
      </c>
    </row>
    <row r="26" spans="1:5" x14ac:dyDescent="0.35">
      <c r="A26" t="s">
        <v>698</v>
      </c>
      <c r="B26" s="3">
        <f>(52*5/2)-52</f>
        <v>78</v>
      </c>
    </row>
    <row r="27" spans="1:5" x14ac:dyDescent="0.35">
      <c r="A27" t="s">
        <v>699</v>
      </c>
      <c r="B27" s="3">
        <v>52</v>
      </c>
    </row>
    <row r="28" spans="1:5" x14ac:dyDescent="0.35">
      <c r="A28" t="s">
        <v>680</v>
      </c>
      <c r="B28" s="3">
        <f>12%*SUM(B26:B27)</f>
        <v>15.6</v>
      </c>
    </row>
    <row r="29" spans="1:5" x14ac:dyDescent="0.35">
      <c r="A29" t="s">
        <v>676</v>
      </c>
      <c r="B29" s="3">
        <f>SUM(B26:B28)</f>
        <v>145.6</v>
      </c>
    </row>
    <row r="30" spans="1:5" x14ac:dyDescent="0.35">
      <c r="B30" s="3"/>
    </row>
    <row r="31" spans="1:5" x14ac:dyDescent="0.35">
      <c r="A31" s="2" t="s">
        <v>692</v>
      </c>
      <c r="B31" s="5">
        <v>1632.99</v>
      </c>
    </row>
    <row r="33" spans="1:2" x14ac:dyDescent="0.35">
      <c r="A33" s="2" t="s">
        <v>691</v>
      </c>
      <c r="B33" s="5">
        <f>B29*$B$17</f>
        <v>237763.34399999998</v>
      </c>
    </row>
  </sheetData>
  <phoneticPr fontId="5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8"/>
  <sheetViews>
    <sheetView showGridLines="0" zoomScale="80" zoomScaleNormal="80" workbookViewId="0">
      <pane ySplit="1" topLeftCell="A15" activePane="bottomLeft" state="frozen"/>
      <selection pane="bottomLeft" activeCell="Q1" sqref="A1:Q1"/>
    </sheetView>
  </sheetViews>
  <sheetFormatPr baseColWidth="10" defaultColWidth="8.90625" defaultRowHeight="14.5" x14ac:dyDescent="0.35"/>
  <cols>
    <col min="1" max="1" width="20" customWidth="1"/>
    <col min="2" max="3" width="25" customWidth="1"/>
    <col min="4" max="4" width="20.36328125" customWidth="1"/>
    <col min="5" max="6" width="30" customWidth="1"/>
    <col min="7" max="7" width="40" customWidth="1"/>
    <col min="8" max="8" width="45" customWidth="1"/>
    <col min="9" max="9" width="20" customWidth="1"/>
    <col min="10" max="10" width="25" customWidth="1"/>
    <col min="11" max="11" width="35" customWidth="1"/>
    <col min="12" max="15" width="12" customWidth="1"/>
    <col min="16" max="16" width="15" customWidth="1"/>
    <col min="17" max="17" width="50" customWidth="1"/>
  </cols>
  <sheetData>
    <row r="1" spans="1:17" s="63" customFormat="1" ht="29" x14ac:dyDescent="0.35">
      <c r="A1" s="6" t="s">
        <v>0</v>
      </c>
      <c r="B1" s="6" t="s">
        <v>1</v>
      </c>
      <c r="C1" s="6" t="s">
        <v>685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672</v>
      </c>
      <c r="P1" s="6" t="s">
        <v>13</v>
      </c>
      <c r="Q1" s="6" t="s">
        <v>14</v>
      </c>
    </row>
    <row r="2" spans="1:17" ht="21" x14ac:dyDescent="0.35">
      <c r="A2" s="7" t="s">
        <v>15</v>
      </c>
      <c r="B2" s="8" t="s">
        <v>16</v>
      </c>
      <c r="C2" s="8" t="s">
        <v>686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9">
        <v>0.1</v>
      </c>
      <c r="M2" s="9">
        <v>0.2</v>
      </c>
      <c r="N2" s="9">
        <v>0.1</v>
      </c>
      <c r="O2" s="10">
        <f>SUM(L2:N2)</f>
        <v>0.4</v>
      </c>
      <c r="P2" s="9" t="s">
        <v>25</v>
      </c>
      <c r="Q2" s="9" t="s">
        <v>26</v>
      </c>
    </row>
    <row r="3" spans="1:17" ht="84" x14ac:dyDescent="0.35">
      <c r="A3" s="64" t="s">
        <v>27</v>
      </c>
      <c r="B3" s="11" t="s">
        <v>28</v>
      </c>
      <c r="C3" s="11" t="s">
        <v>687</v>
      </c>
      <c r="D3" s="11" t="s">
        <v>17</v>
      </c>
      <c r="E3" s="11" t="s">
        <v>29</v>
      </c>
      <c r="F3" s="11" t="s">
        <v>30</v>
      </c>
      <c r="G3" s="11" t="s">
        <v>31</v>
      </c>
      <c r="H3" s="11" t="s">
        <v>32</v>
      </c>
      <c r="I3" s="11" t="s">
        <v>33</v>
      </c>
      <c r="J3" s="11" t="s">
        <v>34</v>
      </c>
      <c r="K3" s="11" t="s">
        <v>35</v>
      </c>
      <c r="L3" s="12">
        <v>0.2</v>
      </c>
      <c r="M3" s="12">
        <v>4</v>
      </c>
      <c r="N3" s="12">
        <v>1</v>
      </c>
      <c r="O3" s="10">
        <f t="shared" ref="O3:O36" si="0">SUM(L3:N3)</f>
        <v>5.2</v>
      </c>
      <c r="P3" s="12" t="s">
        <v>46</v>
      </c>
      <c r="Q3" s="12" t="s">
        <v>37</v>
      </c>
    </row>
    <row r="4" spans="1:17" ht="42" x14ac:dyDescent="0.35">
      <c r="A4" s="64"/>
      <c r="B4" s="11" t="s">
        <v>38</v>
      </c>
      <c r="C4" s="11" t="s">
        <v>687</v>
      </c>
      <c r="D4" s="11" t="s">
        <v>39</v>
      </c>
      <c r="E4" s="11" t="s">
        <v>40</v>
      </c>
      <c r="F4" s="11" t="s">
        <v>41</v>
      </c>
      <c r="G4" s="11" t="s">
        <v>42</v>
      </c>
      <c r="H4" s="11" t="s">
        <v>43</v>
      </c>
      <c r="I4" s="11" t="s">
        <v>33</v>
      </c>
      <c r="J4" s="11" t="s">
        <v>44</v>
      </c>
      <c r="K4" s="11" t="s">
        <v>45</v>
      </c>
      <c r="L4" s="12">
        <v>0.1</v>
      </c>
      <c r="M4" s="12">
        <v>2</v>
      </c>
      <c r="N4" s="12">
        <v>0.5</v>
      </c>
      <c r="O4" s="10">
        <f t="shared" si="0"/>
        <v>2.6</v>
      </c>
      <c r="P4" s="12" t="s">
        <v>25</v>
      </c>
      <c r="Q4" s="12" t="s">
        <v>47</v>
      </c>
    </row>
    <row r="5" spans="1:17" ht="42" x14ac:dyDescent="0.35">
      <c r="A5" s="65" t="s">
        <v>48</v>
      </c>
      <c r="B5" s="13" t="s">
        <v>49</v>
      </c>
      <c r="C5" s="13" t="s">
        <v>687</v>
      </c>
      <c r="D5" s="13" t="s">
        <v>17</v>
      </c>
      <c r="E5" s="13" t="s">
        <v>50</v>
      </c>
      <c r="F5" s="13" t="s">
        <v>51</v>
      </c>
      <c r="G5" s="13" t="s">
        <v>52</v>
      </c>
      <c r="H5" s="13" t="s">
        <v>53</v>
      </c>
      <c r="I5" s="13" t="s">
        <v>54</v>
      </c>
      <c r="J5" s="13" t="s">
        <v>55</v>
      </c>
      <c r="K5" s="13" t="s">
        <v>56</v>
      </c>
      <c r="L5" s="14">
        <v>0.1</v>
      </c>
      <c r="M5" s="14">
        <v>0.3</v>
      </c>
      <c r="N5" s="14">
        <v>0.2</v>
      </c>
      <c r="O5" s="10">
        <f t="shared" si="0"/>
        <v>0.60000000000000009</v>
      </c>
      <c r="P5" s="14" t="s">
        <v>25</v>
      </c>
      <c r="Q5" s="14" t="s">
        <v>57</v>
      </c>
    </row>
    <row r="6" spans="1:17" ht="52.5" x14ac:dyDescent="0.35">
      <c r="A6" s="65"/>
      <c r="B6" s="13" t="s">
        <v>58</v>
      </c>
      <c r="C6" s="13" t="s">
        <v>687</v>
      </c>
      <c r="D6" s="13" t="s">
        <v>59</v>
      </c>
      <c r="E6" s="13" t="s">
        <v>60</v>
      </c>
      <c r="F6" s="13" t="s">
        <v>61</v>
      </c>
      <c r="G6" s="13" t="s">
        <v>62</v>
      </c>
      <c r="H6" s="13" t="s">
        <v>63</v>
      </c>
      <c r="I6" s="13" t="s">
        <v>64</v>
      </c>
      <c r="J6" s="13" t="s">
        <v>64</v>
      </c>
      <c r="K6" s="13" t="s">
        <v>64</v>
      </c>
      <c r="L6" s="14">
        <v>0.1</v>
      </c>
      <c r="M6" s="14">
        <v>0</v>
      </c>
      <c r="N6" s="14">
        <v>0</v>
      </c>
      <c r="O6" s="10">
        <f t="shared" si="0"/>
        <v>0.1</v>
      </c>
      <c r="P6" s="14" t="s">
        <v>25</v>
      </c>
      <c r="Q6" s="14" t="s">
        <v>65</v>
      </c>
    </row>
    <row r="7" spans="1:17" ht="94.5" x14ac:dyDescent="0.35">
      <c r="A7" s="66" t="s">
        <v>66</v>
      </c>
      <c r="B7" s="15" t="s">
        <v>67</v>
      </c>
      <c r="C7" s="15" t="s">
        <v>687</v>
      </c>
      <c r="D7" s="15" t="s">
        <v>17</v>
      </c>
      <c r="E7" s="15" t="s">
        <v>68</v>
      </c>
      <c r="F7" s="15" t="s">
        <v>69</v>
      </c>
      <c r="G7" s="15" t="s">
        <v>70</v>
      </c>
      <c r="H7" s="15" t="s">
        <v>71</v>
      </c>
      <c r="I7" s="15" t="s">
        <v>72</v>
      </c>
      <c r="J7" s="15" t="s">
        <v>73</v>
      </c>
      <c r="K7" s="15" t="s">
        <v>74</v>
      </c>
      <c r="L7" s="16">
        <v>0.2</v>
      </c>
      <c r="M7" s="16">
        <v>4</v>
      </c>
      <c r="N7" s="16">
        <v>1</v>
      </c>
      <c r="O7" s="10">
        <f t="shared" si="0"/>
        <v>5.2</v>
      </c>
      <c r="P7" s="16" t="s">
        <v>46</v>
      </c>
      <c r="Q7" s="16" t="s">
        <v>75</v>
      </c>
    </row>
    <row r="8" spans="1:17" ht="63" x14ac:dyDescent="0.35">
      <c r="A8" s="66"/>
      <c r="B8" s="15" t="s">
        <v>76</v>
      </c>
      <c r="C8" s="15" t="s">
        <v>688</v>
      </c>
      <c r="D8" s="15" t="s">
        <v>77</v>
      </c>
      <c r="E8" s="15" t="s">
        <v>78</v>
      </c>
      <c r="F8" s="15" t="s">
        <v>79</v>
      </c>
      <c r="G8" s="15" t="s">
        <v>80</v>
      </c>
      <c r="H8" s="15" t="s">
        <v>81</v>
      </c>
      <c r="I8" s="15" t="s">
        <v>72</v>
      </c>
      <c r="J8" s="15" t="s">
        <v>82</v>
      </c>
      <c r="K8" s="15" t="s">
        <v>83</v>
      </c>
      <c r="L8" s="16">
        <v>0.15</v>
      </c>
      <c r="M8" s="16">
        <v>3.5</v>
      </c>
      <c r="N8" s="16">
        <v>1</v>
      </c>
      <c r="O8" s="10">
        <f t="shared" si="0"/>
        <v>4.6500000000000004</v>
      </c>
      <c r="P8" s="16" t="s">
        <v>46</v>
      </c>
      <c r="Q8" s="16" t="s">
        <v>84</v>
      </c>
    </row>
    <row r="9" spans="1:17" ht="52.5" x14ac:dyDescent="0.35">
      <c r="A9" s="66"/>
      <c r="B9" s="15" t="s">
        <v>85</v>
      </c>
      <c r="C9" s="15" t="s">
        <v>688</v>
      </c>
      <c r="D9" s="15" t="s">
        <v>3</v>
      </c>
      <c r="E9" s="15" t="s">
        <v>86</v>
      </c>
      <c r="F9" s="15" t="s">
        <v>87</v>
      </c>
      <c r="G9" s="15" t="s">
        <v>88</v>
      </c>
      <c r="H9" s="15" t="s">
        <v>89</v>
      </c>
      <c r="I9" s="15" t="s">
        <v>72</v>
      </c>
      <c r="J9" s="15" t="s">
        <v>90</v>
      </c>
      <c r="K9" s="15" t="s">
        <v>91</v>
      </c>
      <c r="L9" s="16">
        <v>1.5</v>
      </c>
      <c r="M9" s="16">
        <v>2.5</v>
      </c>
      <c r="N9" s="16">
        <v>0.5</v>
      </c>
      <c r="O9" s="10">
        <f t="shared" si="0"/>
        <v>4.5</v>
      </c>
      <c r="P9" s="16" t="s">
        <v>46</v>
      </c>
      <c r="Q9" s="16" t="s">
        <v>92</v>
      </c>
    </row>
    <row r="10" spans="1:17" ht="73.5" x14ac:dyDescent="0.35">
      <c r="A10" s="67" t="s">
        <v>93</v>
      </c>
      <c r="B10" s="17" t="s">
        <v>94</v>
      </c>
      <c r="C10" s="17" t="s">
        <v>687</v>
      </c>
      <c r="D10" s="17" t="s">
        <v>17</v>
      </c>
      <c r="E10" s="17" t="s">
        <v>95</v>
      </c>
      <c r="F10" s="17" t="s">
        <v>96</v>
      </c>
      <c r="G10" s="17" t="s">
        <v>97</v>
      </c>
      <c r="H10" s="17" t="s">
        <v>98</v>
      </c>
      <c r="I10" s="17" t="s">
        <v>99</v>
      </c>
      <c r="J10" s="17" t="s">
        <v>100</v>
      </c>
      <c r="K10" s="17" t="s">
        <v>101</v>
      </c>
      <c r="L10" s="18">
        <v>0.2</v>
      </c>
      <c r="M10" s="18">
        <v>2</v>
      </c>
      <c r="N10" s="18">
        <v>0.5</v>
      </c>
      <c r="O10" s="10">
        <f t="shared" si="0"/>
        <v>2.7</v>
      </c>
      <c r="P10" s="18" t="s">
        <v>25</v>
      </c>
      <c r="Q10" s="18" t="s">
        <v>102</v>
      </c>
    </row>
    <row r="11" spans="1:17" ht="73.5" x14ac:dyDescent="0.35">
      <c r="A11" s="67"/>
      <c r="B11" s="17" t="s">
        <v>103</v>
      </c>
      <c r="C11" s="17" t="s">
        <v>687</v>
      </c>
      <c r="D11" s="17" t="s">
        <v>17</v>
      </c>
      <c r="E11" s="17" t="s">
        <v>104</v>
      </c>
      <c r="F11" s="17" t="s">
        <v>105</v>
      </c>
      <c r="G11" s="17" t="s">
        <v>106</v>
      </c>
      <c r="H11" s="17" t="s">
        <v>107</v>
      </c>
      <c r="I11" s="17" t="s">
        <v>99</v>
      </c>
      <c r="J11" s="17" t="s">
        <v>108</v>
      </c>
      <c r="K11" s="17" t="s">
        <v>109</v>
      </c>
      <c r="L11" s="18">
        <v>0.2</v>
      </c>
      <c r="M11" s="18">
        <v>1.5</v>
      </c>
      <c r="N11" s="18">
        <v>0.5</v>
      </c>
      <c r="O11" s="10">
        <f t="shared" si="0"/>
        <v>2.2000000000000002</v>
      </c>
      <c r="P11" s="18" t="s">
        <v>25</v>
      </c>
      <c r="Q11" s="18" t="s">
        <v>110</v>
      </c>
    </row>
    <row r="12" spans="1:17" ht="84" x14ac:dyDescent="0.35">
      <c r="A12" s="67"/>
      <c r="B12" s="17" t="s">
        <v>111</v>
      </c>
      <c r="C12" s="17" t="s">
        <v>696</v>
      </c>
      <c r="D12" s="17" t="s">
        <v>17</v>
      </c>
      <c r="E12" s="17" t="s">
        <v>112</v>
      </c>
      <c r="F12" s="17" t="s">
        <v>113</v>
      </c>
      <c r="G12" s="17" t="s">
        <v>114</v>
      </c>
      <c r="H12" s="17" t="s">
        <v>115</v>
      </c>
      <c r="I12" s="17" t="s">
        <v>116</v>
      </c>
      <c r="J12" s="17" t="s">
        <v>117</v>
      </c>
      <c r="K12" s="17" t="s">
        <v>118</v>
      </c>
      <c r="L12" s="18">
        <v>0.2</v>
      </c>
      <c r="M12" s="18">
        <v>4</v>
      </c>
      <c r="N12" s="18">
        <v>1</v>
      </c>
      <c r="O12" s="10">
        <f>SUM(L12:N12)</f>
        <v>5.2</v>
      </c>
      <c r="P12" s="18" t="s">
        <v>46</v>
      </c>
      <c r="Q12" s="18" t="s">
        <v>119</v>
      </c>
    </row>
    <row r="13" spans="1:17" ht="73.5" x14ac:dyDescent="0.35">
      <c r="A13" s="68" t="s">
        <v>120</v>
      </c>
      <c r="B13" s="19" t="s">
        <v>121</v>
      </c>
      <c r="C13" s="19" t="s">
        <v>687</v>
      </c>
      <c r="D13" s="19" t="s">
        <v>122</v>
      </c>
      <c r="E13" s="19" t="s">
        <v>681</v>
      </c>
      <c r="F13" s="19" t="s">
        <v>123</v>
      </c>
      <c r="G13" s="19" t="s">
        <v>124</v>
      </c>
      <c r="H13" s="19" t="s">
        <v>125</v>
      </c>
      <c r="I13" s="19" t="s">
        <v>126</v>
      </c>
      <c r="J13" s="19" t="s">
        <v>127</v>
      </c>
      <c r="K13" s="19" t="s">
        <v>128</v>
      </c>
      <c r="L13" s="20">
        <v>0.2</v>
      </c>
      <c r="M13" s="20">
        <v>5</v>
      </c>
      <c r="N13" s="20">
        <v>1.5</v>
      </c>
      <c r="O13" s="10">
        <f t="shared" si="0"/>
        <v>6.7</v>
      </c>
      <c r="P13" s="20" t="s">
        <v>46</v>
      </c>
      <c r="Q13" s="20" t="s">
        <v>129</v>
      </c>
    </row>
    <row r="14" spans="1:17" ht="63" x14ac:dyDescent="0.35">
      <c r="A14" s="68"/>
      <c r="B14" s="19" t="s">
        <v>130</v>
      </c>
      <c r="C14" s="19" t="s">
        <v>696</v>
      </c>
      <c r="D14" s="19" t="s">
        <v>122</v>
      </c>
      <c r="E14" s="19" t="s">
        <v>131</v>
      </c>
      <c r="F14" s="19" t="s">
        <v>132</v>
      </c>
      <c r="G14" s="19" t="s">
        <v>133</v>
      </c>
      <c r="H14" s="19" t="s">
        <v>134</v>
      </c>
      <c r="I14" s="19" t="s">
        <v>135</v>
      </c>
      <c r="J14" s="19" t="s">
        <v>136</v>
      </c>
      <c r="K14" s="19" t="s">
        <v>137</v>
      </c>
      <c r="L14" s="20">
        <v>2</v>
      </c>
      <c r="M14" s="20">
        <v>7</v>
      </c>
      <c r="N14" s="20">
        <v>2</v>
      </c>
      <c r="O14" s="10">
        <f>SUM(L14:N14)</f>
        <v>11</v>
      </c>
      <c r="P14" s="20" t="s">
        <v>36</v>
      </c>
      <c r="Q14" s="20" t="s">
        <v>138</v>
      </c>
    </row>
    <row r="15" spans="1:17" ht="29" x14ac:dyDescent="0.35">
      <c r="A15" s="68"/>
      <c r="B15" s="19" t="s">
        <v>139</v>
      </c>
      <c r="C15" s="19" t="s">
        <v>688</v>
      </c>
      <c r="D15" s="19" t="s">
        <v>39</v>
      </c>
      <c r="E15" s="19" t="s">
        <v>140</v>
      </c>
      <c r="F15" s="19" t="s">
        <v>141</v>
      </c>
      <c r="G15" s="19" t="s">
        <v>142</v>
      </c>
      <c r="H15" s="19" t="s">
        <v>143</v>
      </c>
      <c r="I15" s="19" t="s">
        <v>126</v>
      </c>
      <c r="J15" s="19" t="s">
        <v>144</v>
      </c>
      <c r="K15" s="19" t="s">
        <v>145</v>
      </c>
      <c r="L15" s="20">
        <v>0</v>
      </c>
      <c r="M15" s="20">
        <v>2</v>
      </c>
      <c r="N15" s="20">
        <v>0.5</v>
      </c>
      <c r="O15" s="21">
        <f t="shared" si="0"/>
        <v>2.5</v>
      </c>
      <c r="P15" s="20" t="s">
        <v>25</v>
      </c>
      <c r="Q15" s="20" t="s">
        <v>146</v>
      </c>
    </row>
    <row r="16" spans="1:17" x14ac:dyDescent="0.35">
      <c r="A16" s="6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20"/>
      <c r="N16" s="20"/>
      <c r="O16" s="21">
        <f t="shared" si="0"/>
        <v>0</v>
      </c>
      <c r="P16" s="20"/>
      <c r="Q16" s="20"/>
    </row>
    <row r="17" spans="1:17" ht="105" x14ac:dyDescent="0.35">
      <c r="A17" s="70" t="s">
        <v>147</v>
      </c>
      <c r="B17" s="22" t="s">
        <v>148</v>
      </c>
      <c r="C17" s="22" t="s">
        <v>687</v>
      </c>
      <c r="D17" s="22" t="s">
        <v>17</v>
      </c>
      <c r="E17" s="22" t="s">
        <v>149</v>
      </c>
      <c r="F17" s="22" t="s">
        <v>150</v>
      </c>
      <c r="G17" s="22" t="s">
        <v>151</v>
      </c>
      <c r="H17" s="22" t="s">
        <v>152</v>
      </c>
      <c r="I17" s="22" t="s">
        <v>126</v>
      </c>
      <c r="J17" s="22" t="s">
        <v>153</v>
      </c>
      <c r="K17" s="22" t="s">
        <v>154</v>
      </c>
      <c r="L17" s="23">
        <v>0.2</v>
      </c>
      <c r="M17" s="23">
        <v>2</v>
      </c>
      <c r="N17" s="23">
        <v>0.5</v>
      </c>
      <c r="O17" s="21">
        <f t="shared" si="0"/>
        <v>2.7</v>
      </c>
      <c r="P17" s="23" t="s">
        <v>25</v>
      </c>
      <c r="Q17" s="23" t="s">
        <v>155</v>
      </c>
    </row>
    <row r="18" spans="1:17" ht="52.5" x14ac:dyDescent="0.35">
      <c r="A18" s="70"/>
      <c r="B18" s="22" t="s">
        <v>156</v>
      </c>
      <c r="C18" s="22" t="s">
        <v>687</v>
      </c>
      <c r="D18" s="22" t="s">
        <v>17</v>
      </c>
      <c r="E18" s="22" t="s">
        <v>157</v>
      </c>
      <c r="F18" s="22" t="s">
        <v>158</v>
      </c>
      <c r="G18" s="22" t="s">
        <v>159</v>
      </c>
      <c r="H18" s="22" t="s">
        <v>160</v>
      </c>
      <c r="I18" s="22" t="s">
        <v>161</v>
      </c>
      <c r="J18" s="22" t="s">
        <v>153</v>
      </c>
      <c r="K18" s="22" t="s">
        <v>162</v>
      </c>
      <c r="L18" s="23">
        <v>0.5</v>
      </c>
      <c r="M18" s="23">
        <v>1.5</v>
      </c>
      <c r="N18" s="23">
        <v>0.3</v>
      </c>
      <c r="O18" s="21">
        <f t="shared" si="0"/>
        <v>2.2999999999999998</v>
      </c>
      <c r="P18" s="23" t="s">
        <v>25</v>
      </c>
      <c r="Q18" s="23" t="s">
        <v>163</v>
      </c>
    </row>
    <row r="19" spans="1:17" ht="94.5" x14ac:dyDescent="0.35">
      <c r="A19" s="71" t="s">
        <v>164</v>
      </c>
      <c r="B19" s="24" t="s">
        <v>165</v>
      </c>
      <c r="C19" s="24" t="s">
        <v>687</v>
      </c>
      <c r="D19" s="24" t="s">
        <v>122</v>
      </c>
      <c r="E19" s="24" t="s">
        <v>166</v>
      </c>
      <c r="F19" s="24" t="s">
        <v>167</v>
      </c>
      <c r="G19" s="24" t="s">
        <v>168</v>
      </c>
      <c r="H19" s="24" t="s">
        <v>169</v>
      </c>
      <c r="I19" s="24" t="s">
        <v>170</v>
      </c>
      <c r="J19" s="24" t="s">
        <v>171</v>
      </c>
      <c r="K19" s="24" t="s">
        <v>172</v>
      </c>
      <c r="L19" s="25">
        <v>1</v>
      </c>
      <c r="M19" s="25">
        <v>2</v>
      </c>
      <c r="N19" s="25">
        <v>1</v>
      </c>
      <c r="O19" s="21">
        <f t="shared" si="0"/>
        <v>4</v>
      </c>
      <c r="P19" s="25" t="s">
        <v>46</v>
      </c>
      <c r="Q19" s="25" t="s">
        <v>173</v>
      </c>
    </row>
    <row r="20" spans="1:17" ht="63" x14ac:dyDescent="0.35">
      <c r="A20" s="71"/>
      <c r="B20" s="24" t="s">
        <v>174</v>
      </c>
      <c r="C20" s="24" t="s">
        <v>687</v>
      </c>
      <c r="D20" s="24" t="s">
        <v>77</v>
      </c>
      <c r="E20" s="24" t="s">
        <v>175</v>
      </c>
      <c r="F20" s="24" t="s">
        <v>176</v>
      </c>
      <c r="G20" s="24" t="s">
        <v>177</v>
      </c>
      <c r="H20" s="24" t="s">
        <v>178</v>
      </c>
      <c r="I20" s="24" t="s">
        <v>170</v>
      </c>
      <c r="J20" s="24" t="s">
        <v>179</v>
      </c>
      <c r="K20" s="24" t="s">
        <v>180</v>
      </c>
      <c r="L20" s="25">
        <v>2</v>
      </c>
      <c r="M20" s="25">
        <v>1</v>
      </c>
      <c r="N20" s="25">
        <v>0.5</v>
      </c>
      <c r="O20" s="21">
        <f t="shared" si="0"/>
        <v>3.5</v>
      </c>
      <c r="P20" s="25" t="s">
        <v>25</v>
      </c>
      <c r="Q20" s="25" t="s">
        <v>181</v>
      </c>
    </row>
    <row r="21" spans="1:17" ht="115.5" x14ac:dyDescent="0.35">
      <c r="A21" s="72" t="s">
        <v>182</v>
      </c>
      <c r="B21" s="26" t="s">
        <v>183</v>
      </c>
      <c r="C21" s="26" t="s">
        <v>687</v>
      </c>
      <c r="D21" s="26" t="s">
        <v>17</v>
      </c>
      <c r="E21" s="26" t="s">
        <v>184</v>
      </c>
      <c r="F21" s="26" t="s">
        <v>185</v>
      </c>
      <c r="G21" s="26" t="s">
        <v>186</v>
      </c>
      <c r="H21" s="26" t="s">
        <v>187</v>
      </c>
      <c r="I21" s="26" t="s">
        <v>188</v>
      </c>
      <c r="J21" s="26" t="s">
        <v>189</v>
      </c>
      <c r="K21" s="26" t="s">
        <v>190</v>
      </c>
      <c r="L21" s="27">
        <v>0.3</v>
      </c>
      <c r="M21" s="27">
        <v>3</v>
      </c>
      <c r="N21" s="27">
        <v>1</v>
      </c>
      <c r="O21" s="21">
        <f t="shared" si="0"/>
        <v>4.3</v>
      </c>
      <c r="P21" s="27" t="s">
        <v>46</v>
      </c>
      <c r="Q21" s="27" t="s">
        <v>191</v>
      </c>
    </row>
    <row r="22" spans="1:17" ht="94.5" x14ac:dyDescent="0.35">
      <c r="A22" s="72"/>
      <c r="B22" s="26" t="s">
        <v>192</v>
      </c>
      <c r="C22" s="26" t="s">
        <v>687</v>
      </c>
      <c r="D22" s="26" t="s">
        <v>17</v>
      </c>
      <c r="E22" s="26" t="s">
        <v>193</v>
      </c>
      <c r="F22" s="26" t="s">
        <v>194</v>
      </c>
      <c r="G22" s="26" t="s">
        <v>195</v>
      </c>
      <c r="H22" s="26" t="s">
        <v>196</v>
      </c>
      <c r="I22" s="26" t="s">
        <v>188</v>
      </c>
      <c r="J22" s="26" t="s">
        <v>197</v>
      </c>
      <c r="K22" s="26" t="s">
        <v>198</v>
      </c>
      <c r="L22" s="27">
        <v>0.1</v>
      </c>
      <c r="M22" s="27">
        <v>1.5</v>
      </c>
      <c r="N22" s="27">
        <v>0.5</v>
      </c>
      <c r="O22" s="21">
        <f t="shared" si="0"/>
        <v>2.1</v>
      </c>
      <c r="P22" s="27" t="s">
        <v>25</v>
      </c>
      <c r="Q22" s="27" t="s">
        <v>199</v>
      </c>
    </row>
    <row r="23" spans="1:17" ht="94.5" x14ac:dyDescent="0.35">
      <c r="A23" s="73" t="s">
        <v>200</v>
      </c>
      <c r="B23" s="28" t="s">
        <v>201</v>
      </c>
      <c r="C23" s="28" t="s">
        <v>688</v>
      </c>
      <c r="D23" s="28" t="s">
        <v>17</v>
      </c>
      <c r="E23" s="28" t="s">
        <v>202</v>
      </c>
      <c r="F23" s="28" t="s">
        <v>203</v>
      </c>
      <c r="G23" s="28" t="s">
        <v>204</v>
      </c>
      <c r="H23" s="28" t="s">
        <v>205</v>
      </c>
      <c r="I23" s="28" t="s">
        <v>206</v>
      </c>
      <c r="J23" s="28" t="s">
        <v>207</v>
      </c>
      <c r="K23" s="28" t="s">
        <v>208</v>
      </c>
      <c r="L23" s="29">
        <v>0.2</v>
      </c>
      <c r="M23" s="29">
        <v>2</v>
      </c>
      <c r="N23" s="29">
        <v>1</v>
      </c>
      <c r="O23" s="21">
        <f t="shared" si="0"/>
        <v>3.2</v>
      </c>
      <c r="P23" s="29" t="s">
        <v>46</v>
      </c>
      <c r="Q23" s="29" t="s">
        <v>209</v>
      </c>
    </row>
    <row r="24" spans="1:17" ht="58" x14ac:dyDescent="0.35">
      <c r="A24" s="73"/>
      <c r="B24" s="28" t="s">
        <v>210</v>
      </c>
      <c r="C24" s="28" t="s">
        <v>688</v>
      </c>
      <c r="D24" s="28" t="s">
        <v>39</v>
      </c>
      <c r="E24" s="28" t="s">
        <v>211</v>
      </c>
      <c r="F24" s="28" t="s">
        <v>212</v>
      </c>
      <c r="G24" s="28" t="s">
        <v>213</v>
      </c>
      <c r="H24" s="28" t="s">
        <v>214</v>
      </c>
      <c r="I24" s="28" t="s">
        <v>215</v>
      </c>
      <c r="J24" s="28" t="s">
        <v>216</v>
      </c>
      <c r="K24" s="28" t="s">
        <v>217</v>
      </c>
      <c r="L24" s="29"/>
      <c r="M24" s="29">
        <v>1</v>
      </c>
      <c r="N24" s="29">
        <v>0.5</v>
      </c>
      <c r="O24" s="21">
        <f t="shared" si="0"/>
        <v>1.5</v>
      </c>
      <c r="P24" s="29" t="s">
        <v>25</v>
      </c>
      <c r="Q24" s="29" t="s">
        <v>218</v>
      </c>
    </row>
    <row r="25" spans="1:17" ht="84" x14ac:dyDescent="0.35">
      <c r="A25" s="74" t="s">
        <v>219</v>
      </c>
      <c r="B25" s="30" t="s">
        <v>220</v>
      </c>
      <c r="C25" s="30" t="s">
        <v>688</v>
      </c>
      <c r="D25" s="30" t="s">
        <v>17</v>
      </c>
      <c r="E25" s="30" t="s">
        <v>221</v>
      </c>
      <c r="F25" s="30" t="s">
        <v>222</v>
      </c>
      <c r="G25" s="30" t="s">
        <v>223</v>
      </c>
      <c r="H25" s="30" t="s">
        <v>224</v>
      </c>
      <c r="I25" s="30" t="s">
        <v>72</v>
      </c>
      <c r="J25" s="30" t="s">
        <v>225</v>
      </c>
      <c r="K25" s="30" t="s">
        <v>226</v>
      </c>
      <c r="L25" s="31">
        <v>0.2</v>
      </c>
      <c r="M25" s="31">
        <v>3</v>
      </c>
      <c r="N25" s="31">
        <v>1</v>
      </c>
      <c r="O25" s="21">
        <f t="shared" si="0"/>
        <v>4.2</v>
      </c>
      <c r="P25" s="31" t="s">
        <v>46</v>
      </c>
      <c r="Q25" s="31" t="s">
        <v>227</v>
      </c>
    </row>
    <row r="26" spans="1:17" ht="42" x14ac:dyDescent="0.35">
      <c r="A26" s="74"/>
      <c r="B26" s="30" t="s">
        <v>228</v>
      </c>
      <c r="C26" s="30" t="s">
        <v>689</v>
      </c>
      <c r="D26" s="30" t="s">
        <v>3</v>
      </c>
      <c r="E26" s="30" t="s">
        <v>229</v>
      </c>
      <c r="F26" s="30" t="s">
        <v>230</v>
      </c>
      <c r="G26" s="30" t="s">
        <v>231</v>
      </c>
      <c r="H26" s="30" t="s">
        <v>232</v>
      </c>
      <c r="I26" s="30" t="s">
        <v>72</v>
      </c>
      <c r="J26" s="30" t="s">
        <v>233</v>
      </c>
      <c r="K26" s="30" t="s">
        <v>234</v>
      </c>
      <c r="L26" s="31">
        <v>0.2</v>
      </c>
      <c r="M26" s="31">
        <v>2</v>
      </c>
      <c r="N26" s="31">
        <v>0.5</v>
      </c>
      <c r="O26" s="21">
        <f t="shared" si="0"/>
        <v>2.7</v>
      </c>
      <c r="P26" s="31" t="s">
        <v>46</v>
      </c>
      <c r="Q26" s="31" t="s">
        <v>235</v>
      </c>
    </row>
    <row r="27" spans="1:17" ht="73.5" x14ac:dyDescent="0.35">
      <c r="A27" s="75" t="s">
        <v>236</v>
      </c>
      <c r="B27" s="32" t="s">
        <v>237</v>
      </c>
      <c r="C27" s="32" t="s">
        <v>687</v>
      </c>
      <c r="D27" s="32" t="s">
        <v>17</v>
      </c>
      <c r="E27" s="32" t="s">
        <v>238</v>
      </c>
      <c r="F27" s="32" t="s">
        <v>239</v>
      </c>
      <c r="G27" s="32" t="s">
        <v>240</v>
      </c>
      <c r="H27" s="32" t="s">
        <v>241</v>
      </c>
      <c r="I27" s="32" t="s">
        <v>188</v>
      </c>
      <c r="J27" s="32" t="s">
        <v>242</v>
      </c>
      <c r="K27" s="32" t="s">
        <v>243</v>
      </c>
      <c r="L27" s="33">
        <v>1.5</v>
      </c>
      <c r="M27" s="33">
        <v>2.5</v>
      </c>
      <c r="N27" s="33">
        <v>0.8</v>
      </c>
      <c r="O27" s="21">
        <f t="shared" si="0"/>
        <v>4.8</v>
      </c>
      <c r="P27" s="33" t="s">
        <v>46</v>
      </c>
      <c r="Q27" s="33" t="s">
        <v>244</v>
      </c>
    </row>
    <row r="28" spans="1:17" ht="31.5" x14ac:dyDescent="0.35">
      <c r="A28" s="75"/>
      <c r="B28" s="32" t="s">
        <v>245</v>
      </c>
      <c r="C28" s="32" t="s">
        <v>687</v>
      </c>
      <c r="D28" s="32" t="s">
        <v>39</v>
      </c>
      <c r="E28" s="32" t="s">
        <v>246</v>
      </c>
      <c r="F28" s="32" t="s">
        <v>247</v>
      </c>
      <c r="G28" s="32" t="s">
        <v>248</v>
      </c>
      <c r="H28" s="32" t="s">
        <v>249</v>
      </c>
      <c r="I28" s="32" t="s">
        <v>250</v>
      </c>
      <c r="J28" s="32" t="s">
        <v>251</v>
      </c>
      <c r="K28" s="32" t="s">
        <v>252</v>
      </c>
      <c r="L28" s="33">
        <v>0.1</v>
      </c>
      <c r="M28" s="33">
        <v>1.5</v>
      </c>
      <c r="N28" s="33">
        <v>0.5</v>
      </c>
      <c r="O28" s="21">
        <f t="shared" si="0"/>
        <v>2.1</v>
      </c>
      <c r="P28" s="33" t="s">
        <v>46</v>
      </c>
      <c r="Q28" s="33" t="s">
        <v>253</v>
      </c>
    </row>
    <row r="29" spans="1:17" ht="73.5" x14ac:dyDescent="0.35">
      <c r="A29" s="76" t="s">
        <v>254</v>
      </c>
      <c r="B29" s="34" t="s">
        <v>255</v>
      </c>
      <c r="C29" s="34" t="s">
        <v>687</v>
      </c>
      <c r="D29" s="34" t="s">
        <v>17</v>
      </c>
      <c r="E29" s="34" t="s">
        <v>256</v>
      </c>
      <c r="F29" s="34" t="s">
        <v>257</v>
      </c>
      <c r="G29" s="34" t="s">
        <v>258</v>
      </c>
      <c r="H29" s="34" t="s">
        <v>259</v>
      </c>
      <c r="I29" s="34" t="s">
        <v>260</v>
      </c>
      <c r="J29" s="34" t="s">
        <v>261</v>
      </c>
      <c r="K29" s="34" t="s">
        <v>262</v>
      </c>
      <c r="L29" s="35">
        <v>1</v>
      </c>
      <c r="M29" s="35">
        <v>4.5</v>
      </c>
      <c r="N29" s="35">
        <v>1.5</v>
      </c>
      <c r="O29" s="21">
        <f t="shared" si="0"/>
        <v>7</v>
      </c>
      <c r="P29" s="35" t="s">
        <v>36</v>
      </c>
      <c r="Q29" s="35" t="s">
        <v>263</v>
      </c>
    </row>
    <row r="30" spans="1:17" ht="31.5" x14ac:dyDescent="0.35">
      <c r="A30" s="76"/>
      <c r="B30" s="34" t="s">
        <v>264</v>
      </c>
      <c r="C30" s="34" t="s">
        <v>687</v>
      </c>
      <c r="D30" s="34" t="s">
        <v>3</v>
      </c>
      <c r="E30" s="34" t="s">
        <v>265</v>
      </c>
      <c r="F30" s="34" t="s">
        <v>266</v>
      </c>
      <c r="G30" s="34" t="s">
        <v>267</v>
      </c>
      <c r="H30" s="34" t="s">
        <v>268</v>
      </c>
      <c r="I30" s="34" t="s">
        <v>269</v>
      </c>
      <c r="J30" s="34" t="s">
        <v>270</v>
      </c>
      <c r="K30" s="34" t="s">
        <v>271</v>
      </c>
      <c r="L30" s="35">
        <v>0.1</v>
      </c>
      <c r="M30" s="35">
        <v>1.5</v>
      </c>
      <c r="N30" s="35">
        <v>0.3</v>
      </c>
      <c r="O30" s="21">
        <f t="shared" si="0"/>
        <v>1.9000000000000001</v>
      </c>
      <c r="P30" s="35" t="s">
        <v>25</v>
      </c>
      <c r="Q30" s="35" t="s">
        <v>272</v>
      </c>
    </row>
    <row r="31" spans="1:17" ht="43.5" x14ac:dyDescent="0.35">
      <c r="A31" s="76"/>
      <c r="B31" s="34" t="s">
        <v>273</v>
      </c>
      <c r="C31" s="34" t="s">
        <v>688</v>
      </c>
      <c r="D31" s="34" t="s">
        <v>39</v>
      </c>
      <c r="E31" s="34" t="s">
        <v>274</v>
      </c>
      <c r="F31" s="34" t="s">
        <v>275</v>
      </c>
      <c r="G31" s="34" t="s">
        <v>276</v>
      </c>
      <c r="H31" s="34" t="s">
        <v>277</v>
      </c>
      <c r="I31" s="34" t="s">
        <v>278</v>
      </c>
      <c r="J31" s="34" t="s">
        <v>279</v>
      </c>
      <c r="K31" s="34" t="s">
        <v>280</v>
      </c>
      <c r="L31" s="35">
        <v>0</v>
      </c>
      <c r="M31" s="35">
        <v>2.5</v>
      </c>
      <c r="N31" s="35">
        <v>1</v>
      </c>
      <c r="O31" s="21">
        <f t="shared" si="0"/>
        <v>3.5</v>
      </c>
      <c r="P31" s="35" t="s">
        <v>25</v>
      </c>
      <c r="Q31" s="35" t="s">
        <v>281</v>
      </c>
    </row>
    <row r="32" spans="1:17" ht="63" x14ac:dyDescent="0.35">
      <c r="A32" s="77" t="s">
        <v>282</v>
      </c>
      <c r="B32" s="36" t="s">
        <v>283</v>
      </c>
      <c r="C32" s="36" t="s">
        <v>688</v>
      </c>
      <c r="D32" s="36" t="s">
        <v>3</v>
      </c>
      <c r="E32" s="36" t="s">
        <v>284</v>
      </c>
      <c r="F32" s="36" t="s">
        <v>285</v>
      </c>
      <c r="G32" s="36" t="s">
        <v>286</v>
      </c>
      <c r="H32" s="36" t="s">
        <v>287</v>
      </c>
      <c r="I32" s="36" t="s">
        <v>72</v>
      </c>
      <c r="J32" s="36" t="s">
        <v>288</v>
      </c>
      <c r="K32" s="36" t="s">
        <v>289</v>
      </c>
      <c r="L32" s="37">
        <v>1.5</v>
      </c>
      <c r="M32" s="37">
        <v>2</v>
      </c>
      <c r="N32" s="37">
        <v>0.5</v>
      </c>
      <c r="O32" s="21">
        <f t="shared" si="0"/>
        <v>4</v>
      </c>
      <c r="P32" s="37" t="s">
        <v>46</v>
      </c>
      <c r="Q32" s="37" t="s">
        <v>290</v>
      </c>
    </row>
    <row r="33" spans="1:17" ht="43.5" x14ac:dyDescent="0.35">
      <c r="A33" s="77"/>
      <c r="B33" s="36" t="s">
        <v>291</v>
      </c>
      <c r="C33" s="36" t="s">
        <v>687</v>
      </c>
      <c r="D33" s="36" t="s">
        <v>3</v>
      </c>
      <c r="E33" s="36" t="s">
        <v>292</v>
      </c>
      <c r="F33" s="36" t="s">
        <v>293</v>
      </c>
      <c r="G33" s="36" t="s">
        <v>294</v>
      </c>
      <c r="H33" s="36" t="s">
        <v>295</v>
      </c>
      <c r="I33" s="36" t="s">
        <v>296</v>
      </c>
      <c r="J33" s="36" t="s">
        <v>297</v>
      </c>
      <c r="K33" s="36" t="s">
        <v>298</v>
      </c>
      <c r="L33" s="37">
        <v>1</v>
      </c>
      <c r="M33" s="37">
        <v>2</v>
      </c>
      <c r="N33" s="37">
        <v>0.5</v>
      </c>
      <c r="O33" s="21">
        <f t="shared" si="0"/>
        <v>3.5</v>
      </c>
      <c r="P33" s="37" t="s">
        <v>46</v>
      </c>
      <c r="Q33" s="37" t="s">
        <v>299</v>
      </c>
    </row>
    <row r="34" spans="1:17" ht="52.5" x14ac:dyDescent="0.35">
      <c r="A34" s="78" t="s">
        <v>300</v>
      </c>
      <c r="B34" s="38" t="s">
        <v>301</v>
      </c>
      <c r="C34" s="38" t="s">
        <v>690</v>
      </c>
      <c r="D34" s="38" t="s">
        <v>302</v>
      </c>
      <c r="E34" s="38" t="s">
        <v>303</v>
      </c>
      <c r="F34" s="38" t="s">
        <v>304</v>
      </c>
      <c r="G34" s="38" t="s">
        <v>305</v>
      </c>
      <c r="H34" s="38" t="s">
        <v>306</v>
      </c>
      <c r="I34" s="38" t="s">
        <v>307</v>
      </c>
      <c r="J34" s="38" t="s">
        <v>308</v>
      </c>
      <c r="K34" s="38" t="s">
        <v>309</v>
      </c>
      <c r="L34" s="39">
        <v>1.5</v>
      </c>
      <c r="M34" s="39">
        <v>3.5</v>
      </c>
      <c r="N34" s="39">
        <v>1</v>
      </c>
      <c r="O34" s="21">
        <f t="shared" si="0"/>
        <v>6</v>
      </c>
      <c r="P34" s="39" t="s">
        <v>46</v>
      </c>
      <c r="Q34" s="39" t="s">
        <v>310</v>
      </c>
    </row>
    <row r="35" spans="1:17" ht="63" x14ac:dyDescent="0.35">
      <c r="A35" s="78"/>
      <c r="B35" s="38" t="s">
        <v>311</v>
      </c>
      <c r="C35" s="38" t="s">
        <v>688</v>
      </c>
      <c r="D35" s="38" t="s">
        <v>77</v>
      </c>
      <c r="E35" s="38" t="s">
        <v>312</v>
      </c>
      <c r="F35" s="38" t="s">
        <v>313</v>
      </c>
      <c r="G35" s="38" t="s">
        <v>314</v>
      </c>
      <c r="H35" s="38" t="s">
        <v>315</v>
      </c>
      <c r="I35" s="38" t="s">
        <v>307</v>
      </c>
      <c r="J35" s="38" t="s">
        <v>308</v>
      </c>
      <c r="K35" s="38" t="s">
        <v>316</v>
      </c>
      <c r="L35" s="39">
        <v>0</v>
      </c>
      <c r="M35" s="39">
        <v>2</v>
      </c>
      <c r="N35" s="39">
        <v>0.5</v>
      </c>
      <c r="O35" s="21">
        <f t="shared" si="0"/>
        <v>2.5</v>
      </c>
      <c r="P35" s="39" t="s">
        <v>25</v>
      </c>
      <c r="Q35" s="39" t="s">
        <v>317</v>
      </c>
    </row>
    <row r="36" spans="1:17" ht="136.5" x14ac:dyDescent="0.35">
      <c r="A36" s="79" t="s">
        <v>318</v>
      </c>
      <c r="B36" s="40" t="s">
        <v>319</v>
      </c>
      <c r="C36" s="40" t="s">
        <v>687</v>
      </c>
      <c r="D36" s="40" t="s">
        <v>17</v>
      </c>
      <c r="E36" s="40" t="s">
        <v>320</v>
      </c>
      <c r="F36" s="40" t="s">
        <v>321</v>
      </c>
      <c r="G36" s="40" t="s">
        <v>322</v>
      </c>
      <c r="H36" s="40" t="s">
        <v>323</v>
      </c>
      <c r="I36" s="40" t="s">
        <v>99</v>
      </c>
      <c r="J36" s="40" t="s">
        <v>324</v>
      </c>
      <c r="K36" s="40" t="s">
        <v>325</v>
      </c>
      <c r="L36" s="41">
        <v>0.2</v>
      </c>
      <c r="M36" s="41">
        <v>2.5</v>
      </c>
      <c r="N36" s="41">
        <v>1</v>
      </c>
      <c r="O36" s="21">
        <f t="shared" si="0"/>
        <v>3.7</v>
      </c>
      <c r="P36" s="41" t="s">
        <v>46</v>
      </c>
      <c r="Q36" s="41" t="s">
        <v>326</v>
      </c>
    </row>
    <row r="37" spans="1:17" ht="126" x14ac:dyDescent="0.35">
      <c r="A37" s="79"/>
      <c r="B37" s="40" t="s">
        <v>327</v>
      </c>
      <c r="C37" s="40" t="s">
        <v>687</v>
      </c>
      <c r="D37" s="40" t="s">
        <v>17</v>
      </c>
      <c r="E37" s="40" t="s">
        <v>328</v>
      </c>
      <c r="F37" s="40" t="s">
        <v>329</v>
      </c>
      <c r="G37" s="40" t="s">
        <v>330</v>
      </c>
      <c r="H37" s="40" t="s">
        <v>331</v>
      </c>
      <c r="I37" s="40" t="s">
        <v>99</v>
      </c>
      <c r="J37" s="40" t="s">
        <v>108</v>
      </c>
      <c r="K37" s="40" t="s">
        <v>332</v>
      </c>
      <c r="L37" s="41">
        <v>0.2</v>
      </c>
      <c r="M37" s="41">
        <v>2</v>
      </c>
      <c r="N37" s="41">
        <v>0.5</v>
      </c>
      <c r="O37" s="21">
        <f t="shared" ref="O37:O68" si="1">SUM(L37:N37)</f>
        <v>2.7</v>
      </c>
      <c r="P37" s="41" t="s">
        <v>46</v>
      </c>
      <c r="Q37" s="41" t="s">
        <v>333</v>
      </c>
    </row>
    <row r="38" spans="1:17" ht="115.5" x14ac:dyDescent="0.35">
      <c r="A38" s="79"/>
      <c r="B38" s="40" t="s">
        <v>334</v>
      </c>
      <c r="C38" s="40" t="s">
        <v>696</v>
      </c>
      <c r="D38" s="40" t="s">
        <v>17</v>
      </c>
      <c r="E38" s="40" t="s">
        <v>335</v>
      </c>
      <c r="F38" s="40" t="s">
        <v>336</v>
      </c>
      <c r="G38" s="40" t="s">
        <v>337</v>
      </c>
      <c r="H38" s="40" t="s">
        <v>338</v>
      </c>
      <c r="I38" s="40" t="s">
        <v>116</v>
      </c>
      <c r="J38" s="40" t="s">
        <v>339</v>
      </c>
      <c r="K38" s="40" t="s">
        <v>340</v>
      </c>
      <c r="L38" s="41">
        <v>1</v>
      </c>
      <c r="M38" s="41">
        <v>2.5</v>
      </c>
      <c r="N38" s="41">
        <v>1</v>
      </c>
      <c r="O38" s="10">
        <f>SUM(L38:N38)</f>
        <v>4.5</v>
      </c>
      <c r="P38" s="41" t="s">
        <v>46</v>
      </c>
      <c r="Q38" s="41" t="s">
        <v>341</v>
      </c>
    </row>
    <row r="39" spans="1:17" ht="94.5" x14ac:dyDescent="0.35">
      <c r="A39" s="64" t="s">
        <v>342</v>
      </c>
      <c r="B39" s="11" t="s">
        <v>343</v>
      </c>
      <c r="C39" s="11" t="s">
        <v>687</v>
      </c>
      <c r="D39" s="11" t="s">
        <v>344</v>
      </c>
      <c r="E39" s="11" t="s">
        <v>345</v>
      </c>
      <c r="F39" s="11" t="s">
        <v>346</v>
      </c>
      <c r="G39" s="11" t="s">
        <v>347</v>
      </c>
      <c r="H39" s="11" t="s">
        <v>348</v>
      </c>
      <c r="I39" s="11" t="s">
        <v>349</v>
      </c>
      <c r="J39" s="11" t="s">
        <v>350</v>
      </c>
      <c r="K39" s="11" t="s">
        <v>351</v>
      </c>
      <c r="L39" s="12">
        <v>4</v>
      </c>
      <c r="M39" s="12">
        <v>8</v>
      </c>
      <c r="N39" s="12">
        <v>2</v>
      </c>
      <c r="O39" s="21">
        <f t="shared" si="1"/>
        <v>14</v>
      </c>
      <c r="P39" s="12" t="s">
        <v>36</v>
      </c>
      <c r="Q39" s="12" t="s">
        <v>352</v>
      </c>
    </row>
    <row r="40" spans="1:17" ht="94.5" x14ac:dyDescent="0.35">
      <c r="A40" s="64"/>
      <c r="B40" s="11" t="s">
        <v>353</v>
      </c>
      <c r="C40" s="11" t="s">
        <v>696</v>
      </c>
      <c r="D40" s="11" t="s">
        <v>344</v>
      </c>
      <c r="E40" s="11" t="s">
        <v>354</v>
      </c>
      <c r="F40" s="11" t="s">
        <v>355</v>
      </c>
      <c r="G40" s="11" t="s">
        <v>356</v>
      </c>
      <c r="H40" s="11" t="s">
        <v>357</v>
      </c>
      <c r="I40" s="11" t="s">
        <v>358</v>
      </c>
      <c r="J40" s="11" t="s">
        <v>359</v>
      </c>
      <c r="K40" s="11" t="s">
        <v>360</v>
      </c>
      <c r="L40" s="12">
        <v>5</v>
      </c>
      <c r="M40" s="12">
        <v>8</v>
      </c>
      <c r="N40" s="12">
        <v>2.5</v>
      </c>
      <c r="O40" s="10">
        <f>SUM(L40:N40)</f>
        <v>15.5</v>
      </c>
      <c r="P40" s="12" t="s">
        <v>36</v>
      </c>
      <c r="Q40" s="12" t="s">
        <v>361</v>
      </c>
    </row>
    <row r="41" spans="1:17" ht="58" x14ac:dyDescent="0.35">
      <c r="A41" s="69" t="s">
        <v>362</v>
      </c>
      <c r="B41" s="42" t="s">
        <v>363</v>
      </c>
      <c r="C41" s="42" t="s">
        <v>688</v>
      </c>
      <c r="D41" s="42" t="s">
        <v>302</v>
      </c>
      <c r="E41" s="42" t="s">
        <v>364</v>
      </c>
      <c r="F41" s="42" t="s">
        <v>365</v>
      </c>
      <c r="G41" s="42" t="s">
        <v>366</v>
      </c>
      <c r="H41" s="42" t="s">
        <v>367</v>
      </c>
      <c r="I41" s="42" t="s">
        <v>368</v>
      </c>
      <c r="J41" s="42" t="s">
        <v>369</v>
      </c>
      <c r="K41" s="42" t="s">
        <v>370</v>
      </c>
      <c r="L41" s="43">
        <v>3</v>
      </c>
      <c r="M41" s="43">
        <v>8</v>
      </c>
      <c r="N41" s="43">
        <v>2</v>
      </c>
      <c r="O41" s="21">
        <f t="shared" si="1"/>
        <v>13</v>
      </c>
      <c r="P41" s="43" t="s">
        <v>36</v>
      </c>
      <c r="Q41" s="43" t="s">
        <v>371</v>
      </c>
    </row>
    <row r="42" spans="1:17" ht="52.5" x14ac:dyDescent="0.35">
      <c r="A42" s="69"/>
      <c r="B42" s="42" t="s">
        <v>372</v>
      </c>
      <c r="C42" s="42" t="s">
        <v>688</v>
      </c>
      <c r="D42" s="42" t="s">
        <v>39</v>
      </c>
      <c r="E42" s="42" t="s">
        <v>373</v>
      </c>
      <c r="F42" s="42" t="s">
        <v>374</v>
      </c>
      <c r="G42" s="42" t="s">
        <v>375</v>
      </c>
      <c r="H42" s="42" t="s">
        <v>376</v>
      </c>
      <c r="I42" s="42" t="s">
        <v>368</v>
      </c>
      <c r="J42" s="42" t="s">
        <v>377</v>
      </c>
      <c r="K42" s="42" t="s">
        <v>378</v>
      </c>
      <c r="L42" s="43">
        <v>0</v>
      </c>
      <c r="M42" s="43">
        <v>6</v>
      </c>
      <c r="N42" s="43">
        <v>1.5</v>
      </c>
      <c r="O42" s="21">
        <f t="shared" si="1"/>
        <v>7.5</v>
      </c>
      <c r="P42" s="43" t="s">
        <v>46</v>
      </c>
      <c r="Q42" s="43" t="s">
        <v>379</v>
      </c>
    </row>
    <row r="43" spans="1:17" ht="58" x14ac:dyDescent="0.35">
      <c r="A43" s="84" t="s">
        <v>380</v>
      </c>
      <c r="B43" s="44" t="s">
        <v>381</v>
      </c>
      <c r="C43" s="44" t="s">
        <v>687</v>
      </c>
      <c r="D43" s="44" t="s">
        <v>302</v>
      </c>
      <c r="E43" s="44" t="s">
        <v>382</v>
      </c>
      <c r="F43" s="44" t="s">
        <v>383</v>
      </c>
      <c r="G43" s="44" t="s">
        <v>384</v>
      </c>
      <c r="H43" s="44" t="s">
        <v>385</v>
      </c>
      <c r="I43" s="44" t="s">
        <v>278</v>
      </c>
      <c r="J43" s="44" t="s">
        <v>386</v>
      </c>
      <c r="K43" s="44" t="s">
        <v>387</v>
      </c>
      <c r="L43" s="45">
        <v>1</v>
      </c>
      <c r="M43" s="45">
        <v>4</v>
      </c>
      <c r="N43" s="45">
        <v>1.5</v>
      </c>
      <c r="O43" s="21">
        <f t="shared" si="1"/>
        <v>6.5</v>
      </c>
      <c r="P43" s="45" t="s">
        <v>46</v>
      </c>
      <c r="Q43" s="45" t="s">
        <v>388</v>
      </c>
    </row>
    <row r="44" spans="1:17" ht="84" x14ac:dyDescent="0.35">
      <c r="A44" s="84"/>
      <c r="B44" s="44" t="s">
        <v>389</v>
      </c>
      <c r="C44" s="44" t="s">
        <v>688</v>
      </c>
      <c r="D44" s="44" t="s">
        <v>302</v>
      </c>
      <c r="E44" s="44" t="s">
        <v>390</v>
      </c>
      <c r="F44" s="44" t="s">
        <v>391</v>
      </c>
      <c r="G44" s="44" t="s">
        <v>392</v>
      </c>
      <c r="H44" s="44" t="s">
        <v>393</v>
      </c>
      <c r="I44" s="44" t="s">
        <v>278</v>
      </c>
      <c r="J44" s="44" t="s">
        <v>394</v>
      </c>
      <c r="K44" s="44" t="s">
        <v>395</v>
      </c>
      <c r="L44" s="45">
        <v>0</v>
      </c>
      <c r="M44" s="45">
        <v>10</v>
      </c>
      <c r="N44" s="45">
        <v>3</v>
      </c>
      <c r="O44" s="21">
        <f t="shared" si="1"/>
        <v>13</v>
      </c>
      <c r="P44" s="45" t="s">
        <v>36</v>
      </c>
      <c r="Q44" s="45" t="s">
        <v>396</v>
      </c>
    </row>
    <row r="45" spans="1:17" s="1" customFormat="1" ht="58" x14ac:dyDescent="0.35">
      <c r="A45" s="85" t="s">
        <v>397</v>
      </c>
      <c r="B45" s="46" t="s">
        <v>683</v>
      </c>
      <c r="C45" s="46" t="s">
        <v>688</v>
      </c>
      <c r="D45" s="46" t="s">
        <v>3</v>
      </c>
      <c r="E45" s="46" t="s">
        <v>398</v>
      </c>
      <c r="F45" s="46" t="s">
        <v>399</v>
      </c>
      <c r="G45" s="46" t="s">
        <v>400</v>
      </c>
      <c r="H45" s="46" t="s">
        <v>401</v>
      </c>
      <c r="I45" s="46" t="s">
        <v>402</v>
      </c>
      <c r="J45" s="46" t="s">
        <v>403</v>
      </c>
      <c r="K45" s="46" t="s">
        <v>404</v>
      </c>
      <c r="L45" s="47">
        <v>2.5</v>
      </c>
      <c r="M45" s="47">
        <v>6</v>
      </c>
      <c r="N45" s="47">
        <v>1.5</v>
      </c>
      <c r="O45" s="21">
        <f t="shared" si="1"/>
        <v>10</v>
      </c>
      <c r="P45" s="47" t="s">
        <v>36</v>
      </c>
      <c r="Q45" s="47" t="s">
        <v>405</v>
      </c>
    </row>
    <row r="46" spans="1:17" s="1" customFormat="1" ht="94.5" x14ac:dyDescent="0.35">
      <c r="A46" s="85"/>
      <c r="B46" s="46" t="s">
        <v>406</v>
      </c>
      <c r="C46" s="46" t="s">
        <v>688</v>
      </c>
      <c r="D46" s="46" t="s">
        <v>3</v>
      </c>
      <c r="E46" s="46" t="s">
        <v>407</v>
      </c>
      <c r="F46" s="46" t="s">
        <v>408</v>
      </c>
      <c r="G46" s="46" t="s">
        <v>409</v>
      </c>
      <c r="H46" s="46" t="s">
        <v>410</v>
      </c>
      <c r="I46" s="46" t="s">
        <v>402</v>
      </c>
      <c r="J46" s="46" t="s">
        <v>411</v>
      </c>
      <c r="K46" s="46" t="s">
        <v>412</v>
      </c>
      <c r="L46" s="47">
        <v>3.5</v>
      </c>
      <c r="M46" s="47">
        <v>8</v>
      </c>
      <c r="N46" s="47">
        <v>2</v>
      </c>
      <c r="O46" s="21">
        <f t="shared" si="1"/>
        <v>13.5</v>
      </c>
      <c r="P46" s="47" t="s">
        <v>36</v>
      </c>
      <c r="Q46" s="47" t="s">
        <v>413</v>
      </c>
    </row>
    <row r="47" spans="1:17" ht="58" x14ac:dyDescent="0.35">
      <c r="A47" s="69" t="s">
        <v>414</v>
      </c>
      <c r="B47" s="42" t="s">
        <v>415</v>
      </c>
      <c r="C47" s="42" t="s">
        <v>687</v>
      </c>
      <c r="D47" s="42" t="s">
        <v>302</v>
      </c>
      <c r="E47" s="42" t="s">
        <v>416</v>
      </c>
      <c r="F47" s="42" t="s">
        <v>417</v>
      </c>
      <c r="G47" s="42" t="s">
        <v>418</v>
      </c>
      <c r="H47" s="42" t="s">
        <v>419</v>
      </c>
      <c r="I47" s="42" t="s">
        <v>420</v>
      </c>
      <c r="J47" s="42" t="s">
        <v>421</v>
      </c>
      <c r="K47" s="42" t="s">
        <v>422</v>
      </c>
      <c r="L47" s="43">
        <v>0</v>
      </c>
      <c r="M47" s="43">
        <v>1</v>
      </c>
      <c r="N47" s="43">
        <v>0.5</v>
      </c>
      <c r="O47" s="21">
        <f t="shared" si="1"/>
        <v>1.5</v>
      </c>
      <c r="P47" s="43" t="s">
        <v>682</v>
      </c>
      <c r="Q47" s="43" t="s">
        <v>423</v>
      </c>
    </row>
    <row r="48" spans="1:17" ht="43.5" x14ac:dyDescent="0.35">
      <c r="A48" s="69"/>
      <c r="B48" s="42" t="s">
        <v>424</v>
      </c>
      <c r="C48" s="42" t="s">
        <v>688</v>
      </c>
      <c r="D48" s="42" t="s">
        <v>302</v>
      </c>
      <c r="E48" s="42" t="s">
        <v>425</v>
      </c>
      <c r="F48" s="42" t="s">
        <v>426</v>
      </c>
      <c r="G48" s="42" t="s">
        <v>427</v>
      </c>
      <c r="H48" s="42" t="s">
        <v>428</v>
      </c>
      <c r="I48" s="42" t="s">
        <v>420</v>
      </c>
      <c r="J48" s="42" t="s">
        <v>421</v>
      </c>
      <c r="K48" s="42" t="s">
        <v>429</v>
      </c>
      <c r="L48" s="43">
        <v>2.5</v>
      </c>
      <c r="M48" s="43">
        <v>1.5</v>
      </c>
      <c r="N48" s="43">
        <v>1</v>
      </c>
      <c r="O48" s="21">
        <f t="shared" si="1"/>
        <v>5</v>
      </c>
      <c r="P48" s="43" t="s">
        <v>46</v>
      </c>
      <c r="Q48" s="43" t="s">
        <v>430</v>
      </c>
    </row>
    <row r="49" spans="1:17" ht="43.5" x14ac:dyDescent="0.35">
      <c r="A49" s="48" t="s">
        <v>431</v>
      </c>
      <c r="B49" s="49" t="s">
        <v>432</v>
      </c>
      <c r="C49" s="49" t="s">
        <v>687</v>
      </c>
      <c r="D49" s="49" t="s">
        <v>77</v>
      </c>
      <c r="E49" s="49" t="s">
        <v>433</v>
      </c>
      <c r="F49" s="49" t="s">
        <v>434</v>
      </c>
      <c r="G49" s="49" t="s">
        <v>435</v>
      </c>
      <c r="H49" s="49" t="s">
        <v>436</v>
      </c>
      <c r="I49" s="49" t="s">
        <v>99</v>
      </c>
      <c r="J49" s="49" t="s">
        <v>437</v>
      </c>
      <c r="K49" s="49" t="s">
        <v>438</v>
      </c>
      <c r="L49" s="50">
        <v>1.5</v>
      </c>
      <c r="M49" s="50">
        <v>3</v>
      </c>
      <c r="N49" s="50">
        <v>0.5</v>
      </c>
      <c r="O49" s="21">
        <f t="shared" si="1"/>
        <v>5</v>
      </c>
      <c r="P49" s="50" t="s">
        <v>46</v>
      </c>
      <c r="Q49" s="50" t="s">
        <v>439</v>
      </c>
    </row>
    <row r="50" spans="1:17" ht="52.5" x14ac:dyDescent="0.35">
      <c r="A50" s="86" t="s">
        <v>440</v>
      </c>
      <c r="B50" s="51" t="s">
        <v>441</v>
      </c>
      <c r="C50" s="51" t="s">
        <v>687</v>
      </c>
      <c r="D50" s="51" t="s">
        <v>442</v>
      </c>
      <c r="E50" s="51" t="s">
        <v>443</v>
      </c>
      <c r="F50" s="51" t="s">
        <v>64</v>
      </c>
      <c r="G50" s="51" t="s">
        <v>64</v>
      </c>
      <c r="H50" s="51" t="s">
        <v>671</v>
      </c>
      <c r="I50" s="51" t="s">
        <v>441</v>
      </c>
      <c r="J50" s="51" t="s">
        <v>64</v>
      </c>
      <c r="K50" s="51" t="s">
        <v>64</v>
      </c>
      <c r="L50" s="52">
        <v>0</v>
      </c>
      <c r="M50" s="52">
        <v>1</v>
      </c>
      <c r="N50" s="52"/>
      <c r="O50" s="21">
        <f t="shared" si="1"/>
        <v>1</v>
      </c>
      <c r="P50" s="52" t="s">
        <v>25</v>
      </c>
      <c r="Q50" s="52" t="s">
        <v>444</v>
      </c>
    </row>
    <row r="51" spans="1:17" ht="52.5" x14ac:dyDescent="0.35">
      <c r="A51" s="86"/>
      <c r="B51" s="51" t="s">
        <v>33</v>
      </c>
      <c r="C51" s="51" t="s">
        <v>687</v>
      </c>
      <c r="D51" s="51" t="s">
        <v>445</v>
      </c>
      <c r="E51" s="51" t="s">
        <v>446</v>
      </c>
      <c r="F51" s="51" t="s">
        <v>64</v>
      </c>
      <c r="G51" s="51" t="s">
        <v>64</v>
      </c>
      <c r="H51" s="51" t="s">
        <v>447</v>
      </c>
      <c r="I51" s="51" t="s">
        <v>33</v>
      </c>
      <c r="J51" s="51" t="s">
        <v>448</v>
      </c>
      <c r="K51" s="51" t="s">
        <v>449</v>
      </c>
      <c r="L51" s="52">
        <v>0</v>
      </c>
      <c r="M51" s="52">
        <v>2</v>
      </c>
      <c r="N51" s="52"/>
      <c r="O51" s="21">
        <f t="shared" si="1"/>
        <v>2</v>
      </c>
      <c r="P51" s="52" t="s">
        <v>25</v>
      </c>
      <c r="Q51" s="52" t="s">
        <v>450</v>
      </c>
    </row>
    <row r="52" spans="1:17" ht="52.5" x14ac:dyDescent="0.35">
      <c r="A52" s="86"/>
      <c r="B52" s="51" t="s">
        <v>99</v>
      </c>
      <c r="C52" s="51" t="s">
        <v>687</v>
      </c>
      <c r="D52" s="51" t="s">
        <v>445</v>
      </c>
      <c r="E52" s="51" t="s">
        <v>451</v>
      </c>
      <c r="F52" s="51" t="s">
        <v>64</v>
      </c>
      <c r="G52" s="51" t="s">
        <v>64</v>
      </c>
      <c r="H52" s="51" t="s">
        <v>452</v>
      </c>
      <c r="I52" s="51" t="s">
        <v>99</v>
      </c>
      <c r="J52" s="51" t="s">
        <v>324</v>
      </c>
      <c r="K52" s="51" t="s">
        <v>453</v>
      </c>
      <c r="L52" s="52">
        <v>0</v>
      </c>
      <c r="M52" s="52">
        <v>1.5</v>
      </c>
      <c r="N52" s="52"/>
      <c r="O52" s="21">
        <f t="shared" si="1"/>
        <v>1.5</v>
      </c>
      <c r="P52" s="52" t="s">
        <v>25</v>
      </c>
      <c r="Q52" s="52" t="s">
        <v>454</v>
      </c>
    </row>
    <row r="53" spans="1:17" ht="52.5" x14ac:dyDescent="0.35">
      <c r="A53" s="86"/>
      <c r="B53" s="51" t="s">
        <v>116</v>
      </c>
      <c r="C53" s="51" t="s">
        <v>696</v>
      </c>
      <c r="D53" s="51" t="s">
        <v>445</v>
      </c>
      <c r="E53" s="51" t="s">
        <v>455</v>
      </c>
      <c r="F53" s="51" t="s">
        <v>64</v>
      </c>
      <c r="G53" s="51" t="s">
        <v>64</v>
      </c>
      <c r="H53" s="51" t="s">
        <v>456</v>
      </c>
      <c r="I53" s="51" t="s">
        <v>116</v>
      </c>
      <c r="J53" s="51" t="s">
        <v>339</v>
      </c>
      <c r="K53" s="51" t="s">
        <v>457</v>
      </c>
      <c r="L53" s="52">
        <v>0</v>
      </c>
      <c r="M53" s="52">
        <v>2</v>
      </c>
      <c r="N53" s="52"/>
      <c r="O53" s="10">
        <f>SUM(L53:N53)</f>
        <v>2</v>
      </c>
      <c r="P53" s="52" t="s">
        <v>25</v>
      </c>
      <c r="Q53" s="52" t="s">
        <v>458</v>
      </c>
    </row>
    <row r="54" spans="1:17" ht="63" x14ac:dyDescent="0.35">
      <c r="A54" s="86"/>
      <c r="B54" s="51" t="s">
        <v>126</v>
      </c>
      <c r="C54" s="51" t="s">
        <v>687</v>
      </c>
      <c r="D54" s="51" t="s">
        <v>445</v>
      </c>
      <c r="E54" s="51" t="s">
        <v>459</v>
      </c>
      <c r="F54" s="51" t="s">
        <v>64</v>
      </c>
      <c r="G54" s="51" t="s">
        <v>64</v>
      </c>
      <c r="H54" s="51" t="s">
        <v>460</v>
      </c>
      <c r="I54" s="51" t="s">
        <v>126</v>
      </c>
      <c r="J54" s="51" t="s">
        <v>153</v>
      </c>
      <c r="K54" s="51" t="s">
        <v>461</v>
      </c>
      <c r="L54" s="52">
        <v>0</v>
      </c>
      <c r="M54" s="52">
        <v>2</v>
      </c>
      <c r="N54" s="52"/>
      <c r="O54" s="21">
        <f t="shared" si="1"/>
        <v>2</v>
      </c>
      <c r="P54" s="52" t="s">
        <v>25</v>
      </c>
      <c r="Q54" s="52" t="s">
        <v>462</v>
      </c>
    </row>
    <row r="55" spans="1:17" ht="73.5" x14ac:dyDescent="0.35">
      <c r="A55" s="86"/>
      <c r="B55" s="51" t="s">
        <v>72</v>
      </c>
      <c r="C55" s="51" t="s">
        <v>687</v>
      </c>
      <c r="D55" s="51" t="s">
        <v>445</v>
      </c>
      <c r="E55" s="51" t="s">
        <v>463</v>
      </c>
      <c r="F55" s="51" t="s">
        <v>64</v>
      </c>
      <c r="G55" s="51" t="s">
        <v>64</v>
      </c>
      <c r="H55" s="51" t="s">
        <v>464</v>
      </c>
      <c r="I55" s="51" t="s">
        <v>72</v>
      </c>
      <c r="J55" s="51" t="s">
        <v>90</v>
      </c>
      <c r="K55" s="51" t="s">
        <v>465</v>
      </c>
      <c r="L55" s="52">
        <v>0</v>
      </c>
      <c r="M55" s="52">
        <v>1.5</v>
      </c>
      <c r="N55" s="52"/>
      <c r="O55" s="21">
        <f t="shared" si="1"/>
        <v>1.5</v>
      </c>
      <c r="P55" s="52" t="s">
        <v>25</v>
      </c>
      <c r="Q55" s="52" t="s">
        <v>466</v>
      </c>
    </row>
    <row r="56" spans="1:17" ht="73.5" x14ac:dyDescent="0.35">
      <c r="A56" s="86"/>
      <c r="B56" s="51" t="s">
        <v>170</v>
      </c>
      <c r="C56" s="51" t="s">
        <v>687</v>
      </c>
      <c r="D56" s="51" t="s">
        <v>445</v>
      </c>
      <c r="E56" s="51" t="s">
        <v>467</v>
      </c>
      <c r="F56" s="51" t="s">
        <v>64</v>
      </c>
      <c r="G56" s="51" t="s">
        <v>64</v>
      </c>
      <c r="H56" s="51" t="s">
        <v>468</v>
      </c>
      <c r="I56" s="51" t="s">
        <v>170</v>
      </c>
      <c r="J56" s="51" t="s">
        <v>179</v>
      </c>
      <c r="K56" s="51" t="s">
        <v>469</v>
      </c>
      <c r="L56" s="52">
        <v>0</v>
      </c>
      <c r="M56" s="52">
        <v>1.5</v>
      </c>
      <c r="N56" s="52"/>
      <c r="O56" s="21">
        <f t="shared" si="1"/>
        <v>1.5</v>
      </c>
      <c r="P56" s="52" t="s">
        <v>25</v>
      </c>
      <c r="Q56" s="52" t="s">
        <v>470</v>
      </c>
    </row>
    <row r="57" spans="1:17" ht="63" x14ac:dyDescent="0.35">
      <c r="A57" s="86"/>
      <c r="B57" s="51" t="s">
        <v>206</v>
      </c>
      <c r="C57" s="51" t="s">
        <v>687</v>
      </c>
      <c r="D57" s="51" t="s">
        <v>445</v>
      </c>
      <c r="E57" s="51" t="s">
        <v>471</v>
      </c>
      <c r="F57" s="51" t="s">
        <v>64</v>
      </c>
      <c r="G57" s="51" t="s">
        <v>64</v>
      </c>
      <c r="H57" s="51" t="s">
        <v>472</v>
      </c>
      <c r="I57" s="51" t="s">
        <v>206</v>
      </c>
      <c r="J57" s="51" t="s">
        <v>473</v>
      </c>
      <c r="K57" s="51" t="s">
        <v>474</v>
      </c>
      <c r="L57" s="52">
        <v>0</v>
      </c>
      <c r="M57" s="52">
        <v>1.5</v>
      </c>
      <c r="N57" s="52"/>
      <c r="O57" s="21">
        <f t="shared" si="1"/>
        <v>1.5</v>
      </c>
      <c r="P57" s="52" t="s">
        <v>25</v>
      </c>
      <c r="Q57" s="52" t="s">
        <v>475</v>
      </c>
    </row>
    <row r="58" spans="1:17" ht="63" x14ac:dyDescent="0.35">
      <c r="A58" s="86"/>
      <c r="B58" s="51" t="s">
        <v>368</v>
      </c>
      <c r="C58" s="51" t="s">
        <v>688</v>
      </c>
      <c r="D58" s="51" t="s">
        <v>445</v>
      </c>
      <c r="E58" s="51" t="s">
        <v>476</v>
      </c>
      <c r="F58" s="51" t="s">
        <v>64</v>
      </c>
      <c r="G58" s="51" t="s">
        <v>64</v>
      </c>
      <c r="H58" s="51" t="s">
        <v>477</v>
      </c>
      <c r="I58" s="51" t="s">
        <v>368</v>
      </c>
      <c r="J58" s="51" t="s">
        <v>369</v>
      </c>
      <c r="K58" s="51" t="s">
        <v>478</v>
      </c>
      <c r="L58" s="52">
        <v>0</v>
      </c>
      <c r="M58" s="52">
        <v>2</v>
      </c>
      <c r="N58" s="52"/>
      <c r="O58" s="21">
        <f t="shared" si="1"/>
        <v>2</v>
      </c>
      <c r="P58" s="52" t="s">
        <v>25</v>
      </c>
      <c r="Q58" s="52" t="s">
        <v>479</v>
      </c>
    </row>
    <row r="59" spans="1:17" ht="73.5" x14ac:dyDescent="0.35">
      <c r="A59" s="86"/>
      <c r="B59" s="51" t="s">
        <v>307</v>
      </c>
      <c r="C59" s="51" t="s">
        <v>687</v>
      </c>
      <c r="D59" s="51" t="s">
        <v>445</v>
      </c>
      <c r="E59" s="51" t="s">
        <v>480</v>
      </c>
      <c r="F59" s="51" t="s">
        <v>64</v>
      </c>
      <c r="G59" s="51" t="s">
        <v>64</v>
      </c>
      <c r="H59" s="51" t="s">
        <v>481</v>
      </c>
      <c r="I59" s="51" t="s">
        <v>307</v>
      </c>
      <c r="J59" s="51" t="s">
        <v>308</v>
      </c>
      <c r="K59" s="51" t="s">
        <v>482</v>
      </c>
      <c r="L59" s="52">
        <v>0</v>
      </c>
      <c r="M59" s="52">
        <v>2</v>
      </c>
      <c r="N59" s="52"/>
      <c r="O59" s="21">
        <f t="shared" si="1"/>
        <v>2</v>
      </c>
      <c r="P59" s="52" t="s">
        <v>682</v>
      </c>
      <c r="Q59" s="52" t="s">
        <v>483</v>
      </c>
    </row>
    <row r="60" spans="1:17" ht="72.5" x14ac:dyDescent="0.35">
      <c r="A60" s="86"/>
      <c r="B60" s="51" t="s">
        <v>269</v>
      </c>
      <c r="C60" s="51" t="s">
        <v>687</v>
      </c>
      <c r="D60" s="51" t="s">
        <v>445</v>
      </c>
      <c r="E60" s="51" t="s">
        <v>484</v>
      </c>
      <c r="F60" s="51" t="s">
        <v>64</v>
      </c>
      <c r="G60" s="51" t="s">
        <v>64</v>
      </c>
      <c r="H60" s="51" t="s">
        <v>485</v>
      </c>
      <c r="I60" s="51" t="s">
        <v>269</v>
      </c>
      <c r="J60" s="51" t="s">
        <v>261</v>
      </c>
      <c r="K60" s="51" t="s">
        <v>486</v>
      </c>
      <c r="L60" s="52">
        <v>0</v>
      </c>
      <c r="M60" s="52">
        <v>2</v>
      </c>
      <c r="N60" s="52"/>
      <c r="O60" s="21">
        <f t="shared" si="1"/>
        <v>2</v>
      </c>
      <c r="P60" s="52" t="s">
        <v>682</v>
      </c>
      <c r="Q60" s="52" t="s">
        <v>487</v>
      </c>
    </row>
    <row r="61" spans="1:17" ht="73.5" x14ac:dyDescent="0.35">
      <c r="A61" s="86"/>
      <c r="B61" s="51" t="s">
        <v>278</v>
      </c>
      <c r="C61" s="51" t="s">
        <v>688</v>
      </c>
      <c r="D61" s="51" t="s">
        <v>445</v>
      </c>
      <c r="E61" s="51" t="s">
        <v>488</v>
      </c>
      <c r="F61" s="51" t="s">
        <v>64</v>
      </c>
      <c r="G61" s="51" t="s">
        <v>64</v>
      </c>
      <c r="H61" s="51" t="s">
        <v>489</v>
      </c>
      <c r="I61" s="51" t="s">
        <v>278</v>
      </c>
      <c r="J61" s="51" t="s">
        <v>386</v>
      </c>
      <c r="K61" s="51" t="s">
        <v>490</v>
      </c>
      <c r="L61" s="52">
        <v>0</v>
      </c>
      <c r="M61" s="52">
        <v>4</v>
      </c>
      <c r="N61" s="52"/>
      <c r="O61" s="21">
        <f t="shared" si="1"/>
        <v>4</v>
      </c>
      <c r="P61" s="52" t="s">
        <v>682</v>
      </c>
      <c r="Q61" s="52" t="s">
        <v>491</v>
      </c>
    </row>
    <row r="62" spans="1:17" ht="87" x14ac:dyDescent="0.35">
      <c r="A62" s="86"/>
      <c r="B62" s="51" t="s">
        <v>402</v>
      </c>
      <c r="C62" s="51" t="s">
        <v>688</v>
      </c>
      <c r="D62" s="51" t="s">
        <v>445</v>
      </c>
      <c r="E62" s="51" t="s">
        <v>492</v>
      </c>
      <c r="F62" s="51" t="s">
        <v>64</v>
      </c>
      <c r="G62" s="51" t="s">
        <v>64</v>
      </c>
      <c r="H62" s="51" t="s">
        <v>493</v>
      </c>
      <c r="I62" s="51" t="s">
        <v>402</v>
      </c>
      <c r="J62" s="51" t="s">
        <v>403</v>
      </c>
      <c r="K62" s="51" t="s">
        <v>494</v>
      </c>
      <c r="L62" s="52">
        <v>0</v>
      </c>
      <c r="M62" s="52">
        <v>3</v>
      </c>
      <c r="N62" s="52"/>
      <c r="O62" s="21">
        <f t="shared" si="1"/>
        <v>3</v>
      </c>
      <c r="P62" s="52" t="s">
        <v>682</v>
      </c>
      <c r="Q62" s="52" t="s">
        <v>495</v>
      </c>
    </row>
    <row r="63" spans="1:17" ht="72.5" x14ac:dyDescent="0.35">
      <c r="A63" s="86"/>
      <c r="B63" s="51" t="s">
        <v>420</v>
      </c>
      <c r="C63" s="51" t="s">
        <v>687</v>
      </c>
      <c r="D63" s="51" t="s">
        <v>445</v>
      </c>
      <c r="E63" s="51" t="s">
        <v>496</v>
      </c>
      <c r="F63" s="51" t="s">
        <v>64</v>
      </c>
      <c r="G63" s="51" t="s">
        <v>64</v>
      </c>
      <c r="H63" s="51" t="s">
        <v>497</v>
      </c>
      <c r="I63" s="51" t="s">
        <v>420</v>
      </c>
      <c r="J63" s="51" t="s">
        <v>421</v>
      </c>
      <c r="K63" s="51" t="s">
        <v>498</v>
      </c>
      <c r="L63" s="52">
        <v>0</v>
      </c>
      <c r="M63" s="52">
        <v>1</v>
      </c>
      <c r="N63" s="52"/>
      <c r="O63" s="21">
        <f t="shared" si="1"/>
        <v>1</v>
      </c>
      <c r="P63" s="52" t="s">
        <v>682</v>
      </c>
      <c r="Q63" s="52" t="s">
        <v>499</v>
      </c>
    </row>
    <row r="64" spans="1:17" ht="73.5" x14ac:dyDescent="0.35">
      <c r="A64" s="86"/>
      <c r="B64" s="51" t="s">
        <v>349</v>
      </c>
      <c r="C64" s="51" t="s">
        <v>687</v>
      </c>
      <c r="D64" s="51" t="s">
        <v>445</v>
      </c>
      <c r="E64" s="51" t="s">
        <v>500</v>
      </c>
      <c r="F64" s="51" t="s">
        <v>64</v>
      </c>
      <c r="G64" s="51" t="s">
        <v>64</v>
      </c>
      <c r="H64" s="51" t="s">
        <v>501</v>
      </c>
      <c r="I64" s="51" t="s">
        <v>349</v>
      </c>
      <c r="J64" s="51" t="s">
        <v>350</v>
      </c>
      <c r="K64" s="51" t="s">
        <v>502</v>
      </c>
      <c r="L64" s="52">
        <v>0</v>
      </c>
      <c r="M64" s="52">
        <v>2</v>
      </c>
      <c r="N64" s="52"/>
      <c r="O64" s="21">
        <f t="shared" si="1"/>
        <v>2</v>
      </c>
      <c r="P64" s="52" t="s">
        <v>682</v>
      </c>
      <c r="Q64" s="52" t="s">
        <v>503</v>
      </c>
    </row>
    <row r="65" spans="1:17" ht="72.5" x14ac:dyDescent="0.35">
      <c r="A65" s="87" t="s">
        <v>504</v>
      </c>
      <c r="B65" s="53" t="s">
        <v>505</v>
      </c>
      <c r="C65" s="53" t="s">
        <v>687</v>
      </c>
      <c r="D65" s="53" t="s">
        <v>442</v>
      </c>
      <c r="E65" s="53" t="s">
        <v>506</v>
      </c>
      <c r="F65" s="53" t="s">
        <v>64</v>
      </c>
      <c r="G65" s="53" t="s">
        <v>64</v>
      </c>
      <c r="H65" s="53" t="s">
        <v>507</v>
      </c>
      <c r="I65" s="53" t="s">
        <v>508</v>
      </c>
      <c r="J65" s="53" t="s">
        <v>509</v>
      </c>
      <c r="K65" s="53" t="s">
        <v>510</v>
      </c>
      <c r="L65" s="54">
        <v>0</v>
      </c>
      <c r="M65" s="54">
        <v>0</v>
      </c>
      <c r="N65" s="54">
        <v>15</v>
      </c>
      <c r="O65" s="21">
        <f t="shared" si="1"/>
        <v>15</v>
      </c>
      <c r="P65" s="54" t="s">
        <v>36</v>
      </c>
      <c r="Q65" s="54" t="s">
        <v>511</v>
      </c>
    </row>
    <row r="66" spans="1:17" ht="52.5" x14ac:dyDescent="0.35">
      <c r="A66" s="87"/>
      <c r="B66" s="53" t="s">
        <v>512</v>
      </c>
      <c r="C66" s="53" t="s">
        <v>687</v>
      </c>
      <c r="D66" s="53" t="s">
        <v>442</v>
      </c>
      <c r="E66" s="53" t="s">
        <v>513</v>
      </c>
      <c r="F66" s="53" t="s">
        <v>64</v>
      </c>
      <c r="G66" s="53" t="s">
        <v>64</v>
      </c>
      <c r="H66" s="53" t="s">
        <v>514</v>
      </c>
      <c r="I66" s="53" t="s">
        <v>508</v>
      </c>
      <c r="J66" s="53" t="s">
        <v>64</v>
      </c>
      <c r="K66" s="53" t="s">
        <v>64</v>
      </c>
      <c r="L66" s="54"/>
      <c r="M66" s="54"/>
      <c r="N66" s="54">
        <v>2</v>
      </c>
      <c r="O66" s="21">
        <f t="shared" si="1"/>
        <v>2</v>
      </c>
      <c r="P66" s="54" t="s">
        <v>25</v>
      </c>
      <c r="Q66" s="54" t="s">
        <v>515</v>
      </c>
    </row>
    <row r="67" spans="1:17" ht="58" x14ac:dyDescent="0.35">
      <c r="A67" s="87"/>
      <c r="B67" s="53" t="s">
        <v>516</v>
      </c>
      <c r="C67" s="53" t="s">
        <v>687</v>
      </c>
      <c r="D67" s="53" t="s">
        <v>442</v>
      </c>
      <c r="E67" s="53" t="s">
        <v>517</v>
      </c>
      <c r="F67" s="53" t="s">
        <v>64</v>
      </c>
      <c r="G67" s="53" t="s">
        <v>64</v>
      </c>
      <c r="H67" s="53" t="s">
        <v>518</v>
      </c>
      <c r="I67" s="53" t="s">
        <v>269</v>
      </c>
      <c r="J67" s="53" t="s">
        <v>519</v>
      </c>
      <c r="K67" s="53" t="s">
        <v>520</v>
      </c>
      <c r="L67" s="54"/>
      <c r="M67" s="54"/>
      <c r="N67" s="54">
        <v>4</v>
      </c>
      <c r="O67" s="21">
        <f t="shared" si="1"/>
        <v>4</v>
      </c>
      <c r="P67" s="54" t="s">
        <v>46</v>
      </c>
      <c r="Q67" s="54" t="s">
        <v>521</v>
      </c>
    </row>
    <row r="68" spans="1:17" ht="52.5" x14ac:dyDescent="0.35">
      <c r="A68" s="87"/>
      <c r="B68" s="53" t="s">
        <v>522</v>
      </c>
      <c r="C68" s="53" t="s">
        <v>687</v>
      </c>
      <c r="D68" s="53" t="s">
        <v>442</v>
      </c>
      <c r="E68" s="53" t="s">
        <v>523</v>
      </c>
      <c r="F68" s="53" t="s">
        <v>64</v>
      </c>
      <c r="G68" s="53" t="s">
        <v>64</v>
      </c>
      <c r="H68" s="53" t="s">
        <v>524</v>
      </c>
      <c r="I68" s="53" t="s">
        <v>508</v>
      </c>
      <c r="J68" s="53" t="s">
        <v>64</v>
      </c>
      <c r="K68" s="53" t="s">
        <v>64</v>
      </c>
      <c r="L68" s="54"/>
      <c r="M68" s="54"/>
      <c r="N68" s="54">
        <v>2</v>
      </c>
      <c r="O68" s="21">
        <f t="shared" si="1"/>
        <v>2</v>
      </c>
      <c r="P68" s="54" t="s">
        <v>25</v>
      </c>
      <c r="Q68" s="54" t="s">
        <v>525</v>
      </c>
    </row>
    <row r="69" spans="1:17" ht="43.5" x14ac:dyDescent="0.35">
      <c r="A69" s="87"/>
      <c r="B69" s="53" t="s">
        <v>526</v>
      </c>
      <c r="C69" s="53" t="s">
        <v>687</v>
      </c>
      <c r="D69" s="53" t="s">
        <v>442</v>
      </c>
      <c r="E69" s="53" t="s">
        <v>527</v>
      </c>
      <c r="F69" s="53" t="s">
        <v>64</v>
      </c>
      <c r="G69" s="53" t="s">
        <v>64</v>
      </c>
      <c r="H69" s="53" t="s">
        <v>528</v>
      </c>
      <c r="I69" s="53" t="s">
        <v>508</v>
      </c>
      <c r="J69" s="53" t="s">
        <v>64</v>
      </c>
      <c r="K69" s="53" t="s">
        <v>64</v>
      </c>
      <c r="L69" s="54"/>
      <c r="M69" s="54"/>
      <c r="N69" s="54">
        <v>2</v>
      </c>
      <c r="O69" s="21">
        <f t="shared" ref="O69:O88" si="2">SUM(L69:N69)</f>
        <v>2</v>
      </c>
      <c r="P69" s="54" t="s">
        <v>25</v>
      </c>
      <c r="Q69" s="54" t="s">
        <v>529</v>
      </c>
    </row>
    <row r="70" spans="1:17" ht="52.5" x14ac:dyDescent="0.35">
      <c r="A70" s="87"/>
      <c r="B70" s="53" t="s">
        <v>530</v>
      </c>
      <c r="C70" s="53" t="s">
        <v>687</v>
      </c>
      <c r="D70" s="53" t="s">
        <v>442</v>
      </c>
      <c r="E70" s="53" t="s">
        <v>531</v>
      </c>
      <c r="F70" s="53" t="s">
        <v>64</v>
      </c>
      <c r="G70" s="53" t="s">
        <v>64</v>
      </c>
      <c r="H70" s="53" t="s">
        <v>532</v>
      </c>
      <c r="I70" s="53" t="s">
        <v>533</v>
      </c>
      <c r="J70" s="53" t="s">
        <v>64</v>
      </c>
      <c r="K70" s="53" t="s">
        <v>64</v>
      </c>
      <c r="L70" s="54"/>
      <c r="M70" s="54"/>
      <c r="N70" s="54">
        <v>3.5</v>
      </c>
      <c r="O70" s="21">
        <f t="shared" si="2"/>
        <v>3.5</v>
      </c>
      <c r="P70" s="54" t="s">
        <v>25</v>
      </c>
      <c r="Q70" s="54" t="s">
        <v>534</v>
      </c>
    </row>
    <row r="71" spans="1:17" ht="63" x14ac:dyDescent="0.35">
      <c r="A71" s="87"/>
      <c r="B71" s="53" t="s">
        <v>535</v>
      </c>
      <c r="C71" s="53" t="s">
        <v>687</v>
      </c>
      <c r="D71" s="53" t="s">
        <v>442</v>
      </c>
      <c r="E71" s="53" t="s">
        <v>536</v>
      </c>
      <c r="F71" s="53" t="s">
        <v>64</v>
      </c>
      <c r="G71" s="53" t="s">
        <v>64</v>
      </c>
      <c r="H71" s="53" t="s">
        <v>537</v>
      </c>
      <c r="I71" s="53" t="s">
        <v>533</v>
      </c>
      <c r="J71" s="53" t="s">
        <v>64</v>
      </c>
      <c r="K71" s="53" t="s">
        <v>64</v>
      </c>
      <c r="L71" s="54"/>
      <c r="M71" s="54"/>
      <c r="N71" s="54">
        <v>10</v>
      </c>
      <c r="O71" s="21">
        <f t="shared" si="2"/>
        <v>10</v>
      </c>
      <c r="P71" s="54" t="s">
        <v>36</v>
      </c>
      <c r="Q71" s="54" t="s">
        <v>538</v>
      </c>
    </row>
    <row r="72" spans="1:17" ht="73.5" x14ac:dyDescent="0.35">
      <c r="A72" s="87"/>
      <c r="B72" s="53" t="s">
        <v>539</v>
      </c>
      <c r="C72" s="53" t="s">
        <v>687</v>
      </c>
      <c r="D72" s="53" t="s">
        <v>442</v>
      </c>
      <c r="E72" s="53" t="s">
        <v>540</v>
      </c>
      <c r="F72" s="53" t="s">
        <v>64</v>
      </c>
      <c r="G72" s="53" t="s">
        <v>64</v>
      </c>
      <c r="H72" s="53" t="s">
        <v>541</v>
      </c>
      <c r="I72" s="53" t="s">
        <v>533</v>
      </c>
      <c r="J72" s="53" t="s">
        <v>64</v>
      </c>
      <c r="K72" s="53" t="s">
        <v>64</v>
      </c>
      <c r="L72" s="54"/>
      <c r="M72" s="54"/>
      <c r="N72" s="54">
        <v>5</v>
      </c>
      <c r="O72" s="21">
        <f t="shared" si="2"/>
        <v>5</v>
      </c>
      <c r="P72" s="54" t="s">
        <v>36</v>
      </c>
      <c r="Q72" s="54" t="s">
        <v>542</v>
      </c>
    </row>
    <row r="73" spans="1:17" ht="42" x14ac:dyDescent="0.35">
      <c r="A73" s="80" t="s">
        <v>543</v>
      </c>
      <c r="B73" s="55" t="s">
        <v>544</v>
      </c>
      <c r="C73" s="55" t="s">
        <v>688</v>
      </c>
      <c r="D73" s="55" t="s">
        <v>545</v>
      </c>
      <c r="E73" s="55" t="s">
        <v>546</v>
      </c>
      <c r="F73" s="55" t="s">
        <v>64</v>
      </c>
      <c r="G73" s="55" t="s">
        <v>64</v>
      </c>
      <c r="H73" s="55" t="s">
        <v>547</v>
      </c>
      <c r="I73" s="55" t="s">
        <v>508</v>
      </c>
      <c r="J73" s="55" t="s">
        <v>509</v>
      </c>
      <c r="K73" s="55" t="s">
        <v>548</v>
      </c>
      <c r="L73" s="56"/>
      <c r="M73" s="56"/>
      <c r="N73" s="56"/>
      <c r="O73" s="21">
        <f t="shared" si="2"/>
        <v>0</v>
      </c>
      <c r="P73" s="56" t="s">
        <v>46</v>
      </c>
      <c r="Q73" s="56" t="s">
        <v>549</v>
      </c>
    </row>
    <row r="74" spans="1:17" ht="52.5" x14ac:dyDescent="0.35">
      <c r="A74" s="80"/>
      <c r="B74" s="55" t="s">
        <v>550</v>
      </c>
      <c r="C74" s="55" t="s">
        <v>688</v>
      </c>
      <c r="D74" s="55" t="s">
        <v>545</v>
      </c>
      <c r="E74" s="55" t="s">
        <v>551</v>
      </c>
      <c r="F74" s="55" t="s">
        <v>64</v>
      </c>
      <c r="G74" s="55" t="s">
        <v>64</v>
      </c>
      <c r="H74" s="55" t="s">
        <v>552</v>
      </c>
      <c r="I74" s="55" t="s">
        <v>508</v>
      </c>
      <c r="J74" s="55" t="s">
        <v>553</v>
      </c>
      <c r="K74" s="55" t="s">
        <v>554</v>
      </c>
      <c r="L74" s="56"/>
      <c r="M74" s="56"/>
      <c r="N74" s="56"/>
      <c r="O74" s="21">
        <f t="shared" si="2"/>
        <v>0</v>
      </c>
      <c r="P74" s="56" t="s">
        <v>46</v>
      </c>
      <c r="Q74" s="56" t="s">
        <v>555</v>
      </c>
    </row>
    <row r="75" spans="1:17" ht="126" x14ac:dyDescent="0.35">
      <c r="A75" s="81" t="s">
        <v>556</v>
      </c>
      <c r="B75" s="57" t="s">
        <v>557</v>
      </c>
      <c r="C75" s="57" t="s">
        <v>687</v>
      </c>
      <c r="D75" s="57" t="s">
        <v>558</v>
      </c>
      <c r="E75" s="57" t="s">
        <v>559</v>
      </c>
      <c r="F75" s="57" t="s">
        <v>560</v>
      </c>
      <c r="G75" s="57" t="s">
        <v>561</v>
      </c>
      <c r="H75" s="57" t="s">
        <v>562</v>
      </c>
      <c r="I75" s="57" t="s">
        <v>563</v>
      </c>
      <c r="J75" s="57" t="s">
        <v>564</v>
      </c>
      <c r="K75" s="57" t="s">
        <v>565</v>
      </c>
      <c r="L75" s="58">
        <v>8</v>
      </c>
      <c r="M75" s="58">
        <v>12</v>
      </c>
      <c r="N75" s="58">
        <v>3</v>
      </c>
      <c r="O75" s="21">
        <f t="shared" si="2"/>
        <v>23</v>
      </c>
      <c r="P75" s="58" t="s">
        <v>36</v>
      </c>
      <c r="Q75" s="58" t="s">
        <v>566</v>
      </c>
    </row>
    <row r="76" spans="1:17" ht="42" x14ac:dyDescent="0.35">
      <c r="A76" s="81"/>
      <c r="B76" s="57" t="s">
        <v>567</v>
      </c>
      <c r="C76" s="57" t="s">
        <v>687</v>
      </c>
      <c r="D76" s="57" t="s">
        <v>3</v>
      </c>
      <c r="E76" s="57" t="s">
        <v>568</v>
      </c>
      <c r="F76" s="57" t="s">
        <v>569</v>
      </c>
      <c r="G76" s="57" t="s">
        <v>570</v>
      </c>
      <c r="H76" s="57" t="s">
        <v>571</v>
      </c>
      <c r="I76" s="57" t="s">
        <v>572</v>
      </c>
      <c r="J76" s="57" t="s">
        <v>573</v>
      </c>
      <c r="K76" s="57" t="s">
        <v>574</v>
      </c>
      <c r="L76" s="58"/>
      <c r="M76" s="58">
        <v>5</v>
      </c>
      <c r="N76" s="58">
        <v>1</v>
      </c>
      <c r="O76" s="21">
        <f t="shared" si="2"/>
        <v>6</v>
      </c>
      <c r="P76" s="58" t="s">
        <v>36</v>
      </c>
      <c r="Q76" s="58" t="s">
        <v>575</v>
      </c>
    </row>
    <row r="77" spans="1:17" ht="94.5" x14ac:dyDescent="0.35">
      <c r="A77" s="82" t="s">
        <v>576</v>
      </c>
      <c r="B77" s="59" t="s">
        <v>577</v>
      </c>
      <c r="C77" s="59" t="s">
        <v>687</v>
      </c>
      <c r="D77" s="59" t="s">
        <v>578</v>
      </c>
      <c r="E77" s="59" t="s">
        <v>579</v>
      </c>
      <c r="F77" s="59" t="s">
        <v>580</v>
      </c>
      <c r="G77" s="59" t="s">
        <v>64</v>
      </c>
      <c r="H77" s="59" t="s">
        <v>581</v>
      </c>
      <c r="I77" s="59" t="s">
        <v>582</v>
      </c>
      <c r="J77" s="59" t="s">
        <v>349</v>
      </c>
      <c r="K77" s="59" t="s">
        <v>674</v>
      </c>
      <c r="L77" s="60"/>
      <c r="M77" s="60">
        <v>2</v>
      </c>
      <c r="N77" s="60">
        <v>0.5</v>
      </c>
      <c r="O77" s="21">
        <f t="shared" si="2"/>
        <v>2.5</v>
      </c>
      <c r="P77" s="60" t="s">
        <v>25</v>
      </c>
      <c r="Q77" s="60" t="s">
        <v>583</v>
      </c>
    </row>
    <row r="78" spans="1:17" ht="73.5" x14ac:dyDescent="0.35">
      <c r="A78" s="82"/>
      <c r="B78" s="59" t="s">
        <v>584</v>
      </c>
      <c r="C78" s="59" t="s">
        <v>688</v>
      </c>
      <c r="D78" s="59" t="s">
        <v>578</v>
      </c>
      <c r="E78" s="59" t="s">
        <v>585</v>
      </c>
      <c r="F78" s="59" t="s">
        <v>586</v>
      </c>
      <c r="G78" s="59" t="s">
        <v>64</v>
      </c>
      <c r="H78" s="59" t="s">
        <v>587</v>
      </c>
      <c r="I78" s="59" t="s">
        <v>588</v>
      </c>
      <c r="J78" s="59" t="s">
        <v>368</v>
      </c>
      <c r="K78" s="59" t="s">
        <v>675</v>
      </c>
      <c r="L78" s="60"/>
      <c r="M78" s="60">
        <v>2</v>
      </c>
      <c r="N78" s="60"/>
      <c r="O78" s="21">
        <f t="shared" si="2"/>
        <v>2</v>
      </c>
      <c r="P78" s="60" t="s">
        <v>25</v>
      </c>
      <c r="Q78" s="60" t="s">
        <v>589</v>
      </c>
    </row>
    <row r="79" spans="1:17" ht="52.5" x14ac:dyDescent="0.35">
      <c r="A79" s="82"/>
      <c r="B79" s="59" t="s">
        <v>590</v>
      </c>
      <c r="C79" s="59" t="s">
        <v>696</v>
      </c>
      <c r="D79" s="59" t="s">
        <v>578</v>
      </c>
      <c r="E79" s="59" t="s">
        <v>591</v>
      </c>
      <c r="F79" s="59" t="s">
        <v>586</v>
      </c>
      <c r="G79" s="59" t="s">
        <v>64</v>
      </c>
      <c r="H79" s="59" t="s">
        <v>592</v>
      </c>
      <c r="I79" s="59" t="s">
        <v>593</v>
      </c>
      <c r="J79" s="59" t="s">
        <v>368</v>
      </c>
      <c r="K79" s="59" t="s">
        <v>673</v>
      </c>
      <c r="L79" s="60"/>
      <c r="M79" s="60">
        <v>2</v>
      </c>
      <c r="N79" s="60"/>
      <c r="O79" s="10">
        <f>SUM(L79:N79)</f>
        <v>2</v>
      </c>
      <c r="P79" s="60" t="s">
        <v>25</v>
      </c>
      <c r="Q79" s="60" t="s">
        <v>594</v>
      </c>
    </row>
    <row r="80" spans="1:17" ht="43.5" x14ac:dyDescent="0.35">
      <c r="A80" s="82"/>
      <c r="B80" s="59" t="s">
        <v>595</v>
      </c>
      <c r="C80" s="59" t="s">
        <v>688</v>
      </c>
      <c r="D80" s="59" t="s">
        <v>578</v>
      </c>
      <c r="E80" s="59" t="s">
        <v>596</v>
      </c>
      <c r="F80" s="59" t="s">
        <v>597</v>
      </c>
      <c r="G80" s="59" t="s">
        <v>598</v>
      </c>
      <c r="H80" s="59" t="s">
        <v>599</v>
      </c>
      <c r="I80" s="59" t="s">
        <v>600</v>
      </c>
      <c r="J80" s="59" t="s">
        <v>601</v>
      </c>
      <c r="K80" s="59" t="s">
        <v>602</v>
      </c>
      <c r="L80" s="60">
        <v>3</v>
      </c>
      <c r="M80" s="60">
        <v>10.5</v>
      </c>
      <c r="N80" s="60">
        <v>2.5</v>
      </c>
      <c r="O80" s="21">
        <f t="shared" si="2"/>
        <v>16</v>
      </c>
      <c r="P80" s="60" t="s">
        <v>36</v>
      </c>
      <c r="Q80" s="60" t="s">
        <v>603</v>
      </c>
    </row>
    <row r="81" spans="1:17" ht="43.5" x14ac:dyDescent="0.35">
      <c r="A81" s="83" t="s">
        <v>684</v>
      </c>
      <c r="B81" s="61" t="s">
        <v>604</v>
      </c>
      <c r="C81" s="61" t="s">
        <v>688</v>
      </c>
      <c r="D81" s="61" t="s">
        <v>605</v>
      </c>
      <c r="E81" s="61" t="s">
        <v>606</v>
      </c>
      <c r="F81" s="61" t="s">
        <v>607</v>
      </c>
      <c r="G81" s="61" t="s">
        <v>608</v>
      </c>
      <c r="H81" s="61" t="s">
        <v>609</v>
      </c>
      <c r="I81" s="61" t="s">
        <v>610</v>
      </c>
      <c r="J81" s="61" t="s">
        <v>611</v>
      </c>
      <c r="K81" s="61" t="s">
        <v>612</v>
      </c>
      <c r="L81" s="62"/>
      <c r="M81" s="62">
        <v>3</v>
      </c>
      <c r="N81" s="62">
        <v>1</v>
      </c>
      <c r="O81" s="21">
        <f t="shared" si="2"/>
        <v>4</v>
      </c>
      <c r="P81" s="62" t="s">
        <v>46</v>
      </c>
      <c r="Q81" s="62" t="s">
        <v>613</v>
      </c>
    </row>
    <row r="82" spans="1:17" ht="43.5" x14ac:dyDescent="0.35">
      <c r="A82" s="83"/>
      <c r="B82" s="61" t="s">
        <v>614</v>
      </c>
      <c r="C82" s="61" t="s">
        <v>688</v>
      </c>
      <c r="D82" s="61" t="s">
        <v>605</v>
      </c>
      <c r="E82" s="61" t="s">
        <v>615</v>
      </c>
      <c r="F82" s="61" t="s">
        <v>616</v>
      </c>
      <c r="G82" s="61" t="s">
        <v>617</v>
      </c>
      <c r="H82" s="61" t="s">
        <v>618</v>
      </c>
      <c r="I82" s="61" t="s">
        <v>619</v>
      </c>
      <c r="J82" s="61" t="s">
        <v>620</v>
      </c>
      <c r="K82" s="61" t="s">
        <v>621</v>
      </c>
      <c r="L82" s="62">
        <v>1.5</v>
      </c>
      <c r="M82" s="62">
        <v>2</v>
      </c>
      <c r="N82" s="62">
        <v>1</v>
      </c>
      <c r="O82" s="21">
        <f t="shared" si="2"/>
        <v>4.5</v>
      </c>
      <c r="P82" s="62" t="s">
        <v>46</v>
      </c>
      <c r="Q82" s="62" t="s">
        <v>622</v>
      </c>
    </row>
    <row r="83" spans="1:17" ht="31.5" x14ac:dyDescent="0.35">
      <c r="A83" s="83"/>
      <c r="B83" s="61" t="s">
        <v>623</v>
      </c>
      <c r="C83" s="61" t="s">
        <v>688</v>
      </c>
      <c r="D83" s="61" t="s">
        <v>605</v>
      </c>
      <c r="E83" s="61" t="s">
        <v>624</v>
      </c>
      <c r="F83" s="61" t="s">
        <v>625</v>
      </c>
      <c r="G83" s="61" t="s">
        <v>626</v>
      </c>
      <c r="H83" s="61" t="s">
        <v>627</v>
      </c>
      <c r="I83" s="61" t="s">
        <v>126</v>
      </c>
      <c r="J83" s="61" t="s">
        <v>628</v>
      </c>
      <c r="K83" s="61" t="s">
        <v>629</v>
      </c>
      <c r="L83" s="62">
        <v>0.5</v>
      </c>
      <c r="M83" s="62">
        <v>2</v>
      </c>
      <c r="N83" s="62">
        <v>1</v>
      </c>
      <c r="O83" s="21">
        <f t="shared" si="2"/>
        <v>3.5</v>
      </c>
      <c r="P83" s="62" t="s">
        <v>46</v>
      </c>
      <c r="Q83" s="62" t="s">
        <v>630</v>
      </c>
    </row>
    <row r="84" spans="1:17" ht="42" x14ac:dyDescent="0.35">
      <c r="A84" s="83"/>
      <c r="B84" s="61" t="s">
        <v>631</v>
      </c>
      <c r="C84" s="61" t="s">
        <v>688</v>
      </c>
      <c r="D84" s="61" t="s">
        <v>605</v>
      </c>
      <c r="E84" s="61" t="s">
        <v>632</v>
      </c>
      <c r="F84" s="61" t="s">
        <v>633</v>
      </c>
      <c r="G84" s="61" t="s">
        <v>634</v>
      </c>
      <c r="H84" s="61" t="s">
        <v>635</v>
      </c>
      <c r="I84" s="61" t="s">
        <v>99</v>
      </c>
      <c r="J84" s="61" t="s">
        <v>636</v>
      </c>
      <c r="K84" s="61" t="s">
        <v>637</v>
      </c>
      <c r="L84" s="62">
        <v>1.5</v>
      </c>
      <c r="M84" s="62">
        <v>2</v>
      </c>
      <c r="N84" s="62">
        <v>0.3</v>
      </c>
      <c r="O84" s="21">
        <f t="shared" si="2"/>
        <v>3.8</v>
      </c>
      <c r="P84" s="62" t="s">
        <v>46</v>
      </c>
      <c r="Q84" s="62" t="s">
        <v>638</v>
      </c>
    </row>
    <row r="85" spans="1:17" ht="43.5" x14ac:dyDescent="0.35">
      <c r="A85" s="83"/>
      <c r="B85" s="61" t="s">
        <v>639</v>
      </c>
      <c r="C85" s="61" t="s">
        <v>688</v>
      </c>
      <c r="D85" s="61" t="s">
        <v>605</v>
      </c>
      <c r="E85" s="61" t="s">
        <v>640</v>
      </c>
      <c r="F85" s="61" t="s">
        <v>641</v>
      </c>
      <c r="G85" s="61" t="s">
        <v>642</v>
      </c>
      <c r="H85" s="61" t="s">
        <v>643</v>
      </c>
      <c r="I85" s="61" t="s">
        <v>126</v>
      </c>
      <c r="J85" s="61" t="s">
        <v>644</v>
      </c>
      <c r="K85" s="61" t="s">
        <v>645</v>
      </c>
      <c r="L85" s="62">
        <v>3</v>
      </c>
      <c r="M85" s="62">
        <v>2</v>
      </c>
      <c r="N85" s="62">
        <v>1.5</v>
      </c>
      <c r="O85" s="21">
        <f t="shared" si="2"/>
        <v>6.5</v>
      </c>
      <c r="P85" s="62" t="s">
        <v>46</v>
      </c>
      <c r="Q85" s="62" t="s">
        <v>646</v>
      </c>
    </row>
    <row r="86" spans="1:17" ht="42" x14ac:dyDescent="0.35">
      <c r="A86" s="83"/>
      <c r="B86" s="61" t="s">
        <v>647</v>
      </c>
      <c r="C86" s="61" t="s">
        <v>688</v>
      </c>
      <c r="D86" s="61" t="s">
        <v>605</v>
      </c>
      <c r="E86" s="61" t="s">
        <v>648</v>
      </c>
      <c r="F86" s="61" t="s">
        <v>649</v>
      </c>
      <c r="G86" s="61" t="s">
        <v>650</v>
      </c>
      <c r="H86" s="61" t="s">
        <v>651</v>
      </c>
      <c r="I86" s="61" t="s">
        <v>99</v>
      </c>
      <c r="J86" s="61" t="s">
        <v>652</v>
      </c>
      <c r="K86" s="61" t="s">
        <v>653</v>
      </c>
      <c r="L86" s="62">
        <v>1</v>
      </c>
      <c r="M86" s="62">
        <v>2</v>
      </c>
      <c r="N86" s="62">
        <v>1</v>
      </c>
      <c r="O86" s="21">
        <f t="shared" si="2"/>
        <v>4</v>
      </c>
      <c r="P86" s="62" t="s">
        <v>46</v>
      </c>
      <c r="Q86" s="62" t="s">
        <v>654</v>
      </c>
    </row>
    <row r="87" spans="1:17" ht="43.5" x14ac:dyDescent="0.35">
      <c r="A87" s="83"/>
      <c r="B87" s="61" t="s">
        <v>655</v>
      </c>
      <c r="C87" s="61" t="s">
        <v>688</v>
      </c>
      <c r="D87" s="61" t="s">
        <v>605</v>
      </c>
      <c r="E87" s="61" t="s">
        <v>656</v>
      </c>
      <c r="F87" s="61" t="s">
        <v>657</v>
      </c>
      <c r="G87" s="61" t="s">
        <v>658</v>
      </c>
      <c r="H87" s="61" t="s">
        <v>659</v>
      </c>
      <c r="I87" s="61" t="s">
        <v>278</v>
      </c>
      <c r="J87" s="61" t="s">
        <v>660</v>
      </c>
      <c r="K87" s="61" t="s">
        <v>661</v>
      </c>
      <c r="L87" s="62">
        <v>1</v>
      </c>
      <c r="M87" s="62">
        <v>4</v>
      </c>
      <c r="N87" s="62">
        <v>1</v>
      </c>
      <c r="O87" s="21">
        <f t="shared" si="2"/>
        <v>6</v>
      </c>
      <c r="P87" s="62" t="s">
        <v>46</v>
      </c>
      <c r="Q87" s="62" t="s">
        <v>662</v>
      </c>
    </row>
    <row r="88" spans="1:17" ht="52.5" x14ac:dyDescent="0.35">
      <c r="A88" s="83"/>
      <c r="B88" s="61" t="s">
        <v>663</v>
      </c>
      <c r="C88" s="61" t="s">
        <v>686</v>
      </c>
      <c r="D88" s="61" t="s">
        <v>605</v>
      </c>
      <c r="E88" s="61" t="s">
        <v>664</v>
      </c>
      <c r="F88" s="61" t="s">
        <v>665</v>
      </c>
      <c r="G88" s="61" t="s">
        <v>666</v>
      </c>
      <c r="H88" s="61" t="s">
        <v>667</v>
      </c>
      <c r="I88" s="61" t="s">
        <v>402</v>
      </c>
      <c r="J88" s="61" t="s">
        <v>668</v>
      </c>
      <c r="K88" s="61" t="s">
        <v>669</v>
      </c>
      <c r="L88" s="62">
        <v>0</v>
      </c>
      <c r="M88" s="62">
        <v>12</v>
      </c>
      <c r="N88" s="62">
        <v>3</v>
      </c>
      <c r="O88" s="21">
        <f t="shared" si="2"/>
        <v>15</v>
      </c>
      <c r="P88" s="62" t="s">
        <v>36</v>
      </c>
      <c r="Q88" s="62" t="s">
        <v>670</v>
      </c>
    </row>
  </sheetData>
  <autoFilter ref="A1:Q88" xr:uid="{00000000-0001-0000-0000-000000000000}"/>
  <mergeCells count="26">
    <mergeCell ref="A73:A74"/>
    <mergeCell ref="A75:A76"/>
    <mergeCell ref="A77:A80"/>
    <mergeCell ref="A81:A88"/>
    <mergeCell ref="A43:A44"/>
    <mergeCell ref="A45:A46"/>
    <mergeCell ref="A47:A48"/>
    <mergeCell ref="A50:A64"/>
    <mergeCell ref="A65:A72"/>
    <mergeCell ref="A41:A42"/>
    <mergeCell ref="A17:A18"/>
    <mergeCell ref="A19:A20"/>
    <mergeCell ref="A21:A22"/>
    <mergeCell ref="A23:A24"/>
    <mergeCell ref="A25:A26"/>
    <mergeCell ref="A27:A28"/>
    <mergeCell ref="A29:A31"/>
    <mergeCell ref="A32:A33"/>
    <mergeCell ref="A34:A35"/>
    <mergeCell ref="A36:A38"/>
    <mergeCell ref="A39:A40"/>
    <mergeCell ref="A3:A4"/>
    <mergeCell ref="A5:A6"/>
    <mergeCell ref="A7:A9"/>
    <mergeCell ref="A10:A12"/>
    <mergeCell ref="A13:A16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Synthèse</vt:lpstr>
      <vt:lpstr>Spécifications Chiffrage Dét.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Boumahdi, Houssam</cp:lastModifiedBy>
  <dcterms:created xsi:type="dcterms:W3CDTF">2025-11-16T00:43:38Z</dcterms:created>
  <dcterms:modified xsi:type="dcterms:W3CDTF">2025-12-05T11:18:53Z</dcterms:modified>
</cp:coreProperties>
</file>