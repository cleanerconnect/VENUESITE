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cuments\DIGINEGOCE\LYFE\Nouveau Planning 2026-09\"/>
    </mc:Choice>
  </mc:AlternateContent>
  <bookViews>
    <workbookView xWindow="0" yWindow="0" windowWidth="23040" windowHeight="9072" tabRatio="932" firstSheet="2" activeTab="2"/>
  </bookViews>
  <sheets>
    <sheet name="Cost &amp; Revenu" sheetId="2" state="hidden" r:id="rId1"/>
    <sheet name="Planning Event" sheetId="3" state="hidden" r:id="rId2"/>
    <sheet name="Planning V3" sheetId="4" r:id="rId3"/>
    <sheet name="Planning V2" sheetId="8" r:id="rId4"/>
    <sheet name="Détail Sprint " sheetId="5" r:id="rId5"/>
    <sheet name="Détail Réalisé" sheetId="7" r:id="rId6"/>
    <sheet name="Détail Amélio &amp; US Reporté" sheetId="6" r:id="rId7"/>
  </sheets>
  <definedNames>
    <definedName name="_xlnm._FilterDatabase" localSheetId="6" hidden="1">'Détail Amélio &amp; US Reporté'!$A$1:$I$10</definedName>
    <definedName name="_xlnm._FilterDatabase" localSheetId="5" hidden="1">'Détail Réalisé'!$A$1:$I$224</definedName>
    <definedName name="_xlnm._FilterDatabase" localSheetId="4" hidden="1">'Détail Sprint '!$A$2:$I$183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18" i="5" l="1"/>
  <c r="A117" i="5"/>
  <c r="A55" i="5"/>
  <c r="A134" i="5"/>
  <c r="A41" i="5"/>
  <c r="A97" i="5"/>
  <c r="A96" i="5"/>
  <c r="A95" i="5"/>
  <c r="A94" i="5"/>
  <c r="A93" i="5"/>
  <c r="A92" i="5"/>
  <c r="A91" i="5"/>
  <c r="A90" i="5"/>
  <c r="A89" i="5"/>
  <c r="A182" i="5"/>
  <c r="A181" i="5"/>
  <c r="A180" i="5"/>
  <c r="A113" i="5"/>
  <c r="A179" i="5"/>
  <c r="A178" i="5"/>
  <c r="A177" i="5"/>
  <c r="A176" i="5"/>
  <c r="A175" i="5"/>
  <c r="A174" i="5"/>
  <c r="A173" i="5"/>
  <c r="A172" i="5"/>
  <c r="A171" i="5"/>
  <c r="A170" i="5"/>
  <c r="A168" i="5"/>
  <c r="A167" i="5"/>
  <c r="A166" i="5"/>
  <c r="A165" i="5"/>
  <c r="A164" i="5"/>
  <c r="A163" i="5"/>
  <c r="A162" i="5"/>
  <c r="A161" i="5"/>
  <c r="A160" i="5"/>
  <c r="A159" i="5"/>
  <c r="A158" i="5"/>
  <c r="A150" i="5"/>
  <c r="A149" i="5"/>
  <c r="A112" i="5"/>
  <c r="A111" i="5"/>
  <c r="A110" i="5"/>
  <c r="A109" i="5"/>
  <c r="A88" i="5"/>
  <c r="A108" i="5"/>
  <c r="A107" i="5"/>
  <c r="A106" i="5"/>
  <c r="A157" i="5"/>
  <c r="A156" i="5"/>
  <c r="A87" i="5"/>
  <c r="A86" i="5"/>
  <c r="A85" i="5"/>
  <c r="A84" i="5"/>
  <c r="A83" i="5"/>
  <c r="A155" i="5"/>
  <c r="A154" i="5"/>
  <c r="A148" i="5"/>
  <c r="A147" i="5"/>
  <c r="A146" i="5"/>
  <c r="A145" i="5"/>
  <c r="A144" i="5"/>
  <c r="A143" i="5"/>
  <c r="A142" i="5"/>
  <c r="A141" i="5"/>
  <c r="A140" i="5"/>
  <c r="A139" i="5"/>
  <c r="A138" i="5"/>
  <c r="A105" i="5"/>
  <c r="A104" i="5"/>
  <c r="A103" i="5"/>
  <c r="A10" i="5"/>
  <c r="A102" i="5"/>
  <c r="A153" i="5"/>
  <c r="A9" i="5"/>
  <c r="A8" i="5"/>
  <c r="A132" i="5"/>
  <c r="A7" i="5"/>
  <c r="A6" i="5"/>
  <c r="A5" i="5"/>
  <c r="A4" i="5"/>
  <c r="A3" i="5"/>
  <c r="A82" i="5"/>
  <c r="A81" i="5"/>
  <c r="A80" i="5"/>
  <c r="A79" i="5"/>
  <c r="A152" i="5"/>
  <c r="A78" i="5"/>
  <c r="A77" i="5"/>
  <c r="A76" i="5"/>
  <c r="A75" i="5"/>
  <c r="A74" i="5"/>
  <c r="A137" i="5"/>
  <c r="A101" i="5"/>
  <c r="A73" i="5"/>
  <c r="A72" i="5"/>
  <c r="A71" i="5"/>
  <c r="A70" i="5"/>
  <c r="A69" i="5"/>
  <c r="A68" i="5"/>
  <c r="A100" i="5"/>
  <c r="A67" i="5"/>
  <c r="A66" i="5"/>
  <c r="A65" i="5"/>
  <c r="A136" i="5"/>
  <c r="A99" i="5"/>
  <c r="A64" i="5"/>
  <c r="A63" i="5"/>
  <c r="A151" i="5"/>
  <c r="A62" i="5"/>
  <c r="A61" i="5"/>
  <c r="A60" i="5"/>
  <c r="A59" i="5"/>
  <c r="A58" i="5"/>
  <c r="A39" i="5"/>
  <c r="E50" i="4"/>
  <c r="E49" i="4"/>
  <c r="E48" i="4"/>
  <c r="E47" i="4"/>
  <c r="E46" i="4"/>
  <c r="E45" i="4"/>
  <c r="E44" i="4"/>
  <c r="E43" i="4"/>
  <c r="E42" i="4"/>
  <c r="D41" i="4"/>
  <c r="E40" i="4"/>
  <c r="D40" i="4"/>
  <c r="D54" i="4"/>
  <c r="E38" i="4"/>
  <c r="D39" i="4" s="1"/>
  <c r="E39" i="4" s="1"/>
  <c r="E41" i="4" l="1"/>
  <c r="D42" i="4" s="1"/>
  <c r="D43" i="4"/>
  <c r="D44" i="4" l="1"/>
  <c r="D45" i="4" l="1"/>
  <c r="D46" i="4" l="1"/>
  <c r="D47" i="4" l="1"/>
  <c r="D48" i="4" s="1"/>
  <c r="D49" i="4" s="1"/>
  <c r="D50" i="4" l="1"/>
  <c r="D51" i="4" l="1"/>
  <c r="E51" i="4" l="1"/>
  <c r="D52" i="4" s="1"/>
  <c r="E52" i="4" l="1"/>
  <c r="D53" i="4" s="1"/>
  <c r="E53" i="4" s="1"/>
  <c r="E54" i="4" s="1"/>
  <c r="L14" i="3" l="1"/>
  <c r="L15" i="3" s="1"/>
  <c r="J14" i="3"/>
  <c r="G11" i="3"/>
  <c r="G9" i="3"/>
  <c r="G7" i="3"/>
  <c r="G5" i="3"/>
  <c r="D13" i="3"/>
  <c r="E13" i="3"/>
  <c r="F13" i="3"/>
  <c r="G13" i="3" s="1"/>
  <c r="H13" i="3" s="1"/>
  <c r="D9" i="3"/>
  <c r="E9" i="3" s="1"/>
  <c r="E7" i="3"/>
  <c r="E5" i="3"/>
  <c r="G10" i="2"/>
  <c r="G8" i="2"/>
  <c r="G6" i="2"/>
  <c r="G5" i="2"/>
  <c r="F10" i="2"/>
  <c r="F8" i="2"/>
  <c r="F6" i="2"/>
  <c r="F5" i="2"/>
  <c r="D5" i="2"/>
  <c r="E10" i="2"/>
  <c r="E8" i="2"/>
  <c r="E6" i="2"/>
  <c r="E5" i="2"/>
  <c r="D10" i="2"/>
  <c r="D8" i="2"/>
  <c r="D6" i="2"/>
  <c r="E11" i="3" l="1"/>
  <c r="F11" i="3" s="1"/>
  <c r="F5" i="3"/>
  <c r="F7" i="3"/>
  <c r="D12" i="2"/>
  <c r="F12" i="2"/>
  <c r="G12" i="2"/>
  <c r="F9" i="3" l="1"/>
  <c r="E12" i="2"/>
  <c r="H10" i="2" l="1"/>
  <c r="H8" i="2" l="1"/>
  <c r="H5" i="2"/>
  <c r="H6" i="2" l="1"/>
  <c r="H12" i="2" s="1"/>
  <c r="H14" i="2" l="1"/>
</calcChain>
</file>

<file path=xl/comments1.xml><?xml version="1.0" encoding="utf-8"?>
<comments xmlns="http://schemas.openxmlformats.org/spreadsheetml/2006/main">
  <authors>
    <author>ADmiN</author>
  </authors>
  <commentList>
    <comment ref="F12" authorId="0" shapeId="0">
      <text>
        <r>
          <rPr>
            <b/>
            <sz val="9"/>
            <rFont val="Tahoma"/>
            <family val="2"/>
          </rPr>
          <t>ADmiN:</t>
        </r>
        <r>
          <rPr>
            <sz val="9"/>
            <rFont val="Tahoma"/>
            <family val="2"/>
          </rPr>
          <t xml:space="preserve">
Fonctionnalités accessible en mode invité à confirmer
</t>
        </r>
      </text>
    </comment>
    <comment ref="F44" authorId="0" shapeId="0">
      <text>
        <r>
          <rPr>
            <b/>
            <sz val="9"/>
            <rFont val="Tahoma"/>
            <family val="2"/>
          </rPr>
          <t>ADmiN:</t>
        </r>
        <r>
          <rPr>
            <sz val="9"/>
            <rFont val="Tahoma"/>
            <family val="2"/>
          </rPr>
          <t xml:space="preserve">
Annulation de la phase paiment - confirmé par client
</t>
        </r>
      </text>
    </comment>
    <comment ref="F48" authorId="0" shapeId="0">
      <text>
        <r>
          <rPr>
            <b/>
            <sz val="9"/>
            <rFont val="Tahoma"/>
            <family val="2"/>
          </rPr>
          <t>ADmiN:</t>
        </r>
        <r>
          <rPr>
            <sz val="9"/>
            <rFont val="Tahoma"/>
            <family val="2"/>
          </rPr>
          <t xml:space="preserve">
sans paiement</t>
        </r>
      </text>
    </comment>
    <comment ref="F49" authorId="0" shapeId="0">
      <text>
        <r>
          <rPr>
            <b/>
            <sz val="9"/>
            <rFont val="Tahoma"/>
            <family val="2"/>
          </rPr>
          <t>ADmiN:</t>
        </r>
        <r>
          <rPr>
            <sz val="9"/>
            <rFont val="Tahoma"/>
            <family val="2"/>
          </rPr>
          <t xml:space="preserve">
sans paiement</t>
        </r>
      </text>
    </comment>
    <comment ref="F76" authorId="0" shapeId="0">
      <text>
        <r>
          <rPr>
            <b/>
            <sz val="9"/>
            <rFont val="Tahoma"/>
            <family val="2"/>
          </rPr>
          <t>ADmiN:</t>
        </r>
        <r>
          <rPr>
            <sz val="9"/>
            <rFont val="Tahoma"/>
            <family val="2"/>
          </rPr>
          <t xml:space="preserve">
sans paiement</t>
        </r>
      </text>
    </comment>
  </commentList>
</comments>
</file>

<file path=xl/sharedStrings.xml><?xml version="1.0" encoding="utf-8"?>
<sst xmlns="http://schemas.openxmlformats.org/spreadsheetml/2006/main" count="3218" uniqueCount="1110">
  <si>
    <t>Traité</t>
  </si>
  <si>
    <t xml:space="preserve">A traiter </t>
  </si>
  <si>
    <t xml:space="preserve">Site Web </t>
  </si>
  <si>
    <t>Dev Approximatif</t>
  </si>
  <si>
    <t>Test</t>
  </si>
  <si>
    <t>Total</t>
  </si>
  <si>
    <t>Total JH</t>
  </si>
  <si>
    <t xml:space="preserve">Dashboard Event </t>
  </si>
  <si>
    <t>Changements UAT - Events</t>
  </si>
  <si>
    <t>Cost Dev 1</t>
  </si>
  <si>
    <t>Coste Dev 2</t>
  </si>
  <si>
    <t>Cost Archi</t>
  </si>
  <si>
    <t xml:space="preserve">Cost Pilotage </t>
  </si>
  <si>
    <t xml:space="preserve">Marge net </t>
  </si>
  <si>
    <t>Costs</t>
  </si>
  <si>
    <t>Charge RAF</t>
  </si>
  <si>
    <t>Changements UATS</t>
  </si>
  <si>
    <t xml:space="preserve">Backlog Event </t>
  </si>
  <si>
    <t>Sprint 1</t>
  </si>
  <si>
    <t>Sprint 1 (2/3)</t>
  </si>
  <si>
    <t>Sprint 2 (2/3)</t>
  </si>
  <si>
    <t xml:space="preserve">Sprint 2 </t>
  </si>
  <si>
    <t xml:space="preserve">Sprint 3 </t>
  </si>
  <si>
    <t>Sprint 4</t>
  </si>
  <si>
    <t>Sprint</t>
  </si>
  <si>
    <t>Date début prévisionnelle</t>
  </si>
  <si>
    <t>Date fin Prévisionnelle</t>
  </si>
  <si>
    <t>SP</t>
  </si>
  <si>
    <t>Dash 1</t>
  </si>
  <si>
    <t xml:space="preserve">Dash 2 </t>
  </si>
  <si>
    <t>Dash 3</t>
  </si>
  <si>
    <t>UAT 2</t>
  </si>
  <si>
    <t>Prio 05</t>
  </si>
  <si>
    <t>Prio 06</t>
  </si>
  <si>
    <t>Prio 07</t>
  </si>
  <si>
    <t>Prio 08</t>
  </si>
  <si>
    <t>UAT 3</t>
  </si>
  <si>
    <t>Prio 09</t>
  </si>
  <si>
    <t>Prio 10</t>
  </si>
  <si>
    <t>Prio 11</t>
  </si>
  <si>
    <t>UAT 4</t>
  </si>
  <si>
    <t>Prio 01</t>
  </si>
  <si>
    <t>Prio 02</t>
  </si>
  <si>
    <t>Prio 03</t>
  </si>
  <si>
    <t>Prio 04</t>
  </si>
  <si>
    <t xml:space="preserve">Stabilisation </t>
  </si>
  <si>
    <t>Go Live</t>
  </si>
  <si>
    <t>Fonctionnalités couvertes</t>
  </si>
  <si>
    <t>Prérequis à préparer 10 jours avant le démarrage du Sprint</t>
  </si>
  <si>
    <r>
      <rPr>
        <b/>
        <u/>
        <sz val="11"/>
        <color theme="1"/>
        <rFont val="Calibri"/>
        <family val="2"/>
        <scheme val="minor"/>
      </rPr>
      <t>Events</t>
    </r>
    <r>
      <rPr>
        <sz val="11"/>
        <color theme="1"/>
        <rFont val="Calibri"/>
        <family val="2"/>
        <scheme val="minor"/>
      </rPr>
      <t xml:space="preserve"> : 
 - Site Web Events 
  - App - filtres par catégorie / recherche en temps réél / Historique des recherches / Filtres avancés / Tri des évènements / Sauvegarde évènements en favoris et wishlist / Achat évènement 0dh 
 - Dashboard : Vue d'ensemble / Mes évènements / Détail évènements / Création évènement / Authentification et gestion profil Organisateur / Recherche évènement / Rubriques avancés avec mention "Coming Soon"
 - ANO &amp;  Changes </t>
    </r>
  </si>
  <si>
    <t xml:space="preserve"> - Définir les critères à retenir pour les filtres avancés</t>
  </si>
  <si>
    <t xml:space="preserve">Events : 
 - Dashboard : Gestion des évènements avec paiment partiel sur appli / Changement de mot de passe Organisateur 
 - App : retour de l'ecran ticket &amp; gestion du popup / Photos au niveau du détails des évènements / Type du ticket au niveau de l'ecran ticket 
Restau &amp; Drinks : 
 - Dashobaord basique (Authentification + Création de Venue + Gestion des reservation uniquement)
 - Réservation via whatsapp
 - Ano &amp; Changes </t>
  </si>
  <si>
    <t xml:space="preserve"> - Dashboard Administrateur
 - MAP sur écran principal
 - Reservation via API</t>
  </si>
  <si>
    <r>
      <rPr>
        <b/>
        <sz val="11"/>
        <color theme="1"/>
        <rFont val="Calibri"/>
        <family val="2"/>
        <scheme val="minor"/>
      </rPr>
      <t xml:space="preserve"> Events : </t>
    </r>
    <r>
      <rPr>
        <sz val="11"/>
        <color theme="1"/>
        <rFont val="Calibri"/>
        <family val="2"/>
        <scheme val="minor"/>
      </rPr>
      <t xml:space="preserve">
 - Modification de la maquatte du dashboard pour prise en compte d'un champ de paramétrage indiquant le texte à afficher dans le cas des paiments partiel 
 - Ajout du bouton changement de mot de passe / mot de passe oublié pour l'organisateur 
 - Ajout des zones photos sur le détail des événements sur l'application 
 - Ajout du champ Type au niveau de l'ecran Ticket 
 - Ajout d'un champ pour l'affichage du message avec l'information du montant à payer sur place opur les évènements avec paiment partiel sur appli
</t>
    </r>
    <r>
      <rPr>
        <b/>
        <sz val="11"/>
        <color theme="1"/>
        <rFont val="Calibri"/>
        <family val="2"/>
        <scheme val="minor"/>
      </rPr>
      <t xml:space="preserve">Restau &amp; Drinks </t>
    </r>
    <r>
      <rPr>
        <sz val="11"/>
        <color theme="1"/>
        <rFont val="Calibri"/>
        <family val="2"/>
        <scheme val="minor"/>
      </rPr>
      <t xml:space="preserve">
  - Mauettes pour Dasboard Restau &amp; Drinks 
  - Maquettes pour authentification partenaire Venue 
  - Débloquer les campagnes Whatsapp</t>
    </r>
  </si>
  <si>
    <t xml:space="preserve"> - Maquette Dashboard 
 - écran de la MAP sur app
 - figer les API à utiliser pour </t>
  </si>
  <si>
    <t xml:space="preserve"> - Reservation via API - Suite
 - Tracking Data</t>
  </si>
  <si>
    <t xml:space="preserve"> - Tracking Data suite 
 - Notifications
 - Dashboard - Gestion des codes promo</t>
  </si>
  <si>
    <t xml:space="preserve"> - Maquette compléte de la création du code promo + cinématique pour Dashboard
- Ajout chanmp code promo au niveau de l'"cran de paiement sur figma </t>
  </si>
  <si>
    <t xml:space="preserve"> - Compléter les maquettes pour le Dashboard, 
 - Définir le format des bilans extractables 
 - définir le process des invitations +
 - définir les roles pour les équipes </t>
  </si>
  <si>
    <t xml:space="preserve"> - Agent IA Basic 
 - Agent IA premium 
 - Dashboard Event avancés ( Réglages + gestion des invitations + bilans + gestion équipe) </t>
  </si>
  <si>
    <t xml:space="preserve"> - Dasboard Events avancés ( gestion des versements + gestion des remboursements + Audience et visibilité + Support + préférences de boost)</t>
  </si>
  <si>
    <t xml:space="preserve"> - Compléter les maquettes pour le dashboard, 
 - Définir le processus des remboursement + des versement 
 - figer ce qui doit etre affiché au niveau Audience &amp; Visibilité 
 - définir le process de support et ce que doit comporter la maquettes 
 - définir les préférences de boost et leur gestion </t>
  </si>
  <si>
    <t xml:space="preserve"> - Dashboard Restau &amp; Drinks avancés 
 - Dashboard Event -section boost + régie + promouvoir)</t>
  </si>
  <si>
    <t xml:space="preserve"> - maquettes des dashboard correspondants et les différents éléments fonctionnels decrivants les fonctionnalités </t>
  </si>
  <si>
    <t xml:space="preserve"> - Programme de fidélité &amp; Feed social - Suite 
 - Tracking Data sur le comportement </t>
  </si>
  <si>
    <t xml:space="preserve"> - Feed social - Suite 
 - Tracking Data comportement - Suite </t>
  </si>
  <si>
    <t xml:space="preserve"> - Programme de fidélité &amp; Feed social</t>
  </si>
  <si>
    <t xml:space="preserve"> - Completer les écran de fidélité et les écran du feed social sur Figma </t>
  </si>
  <si>
    <t>ID GEN</t>
  </si>
  <si>
    <t>New</t>
  </si>
  <si>
    <t>New 2</t>
  </si>
  <si>
    <t>New 3</t>
  </si>
  <si>
    <t>New 4</t>
  </si>
  <si>
    <t>New 5</t>
  </si>
  <si>
    <t>New 6</t>
  </si>
  <si>
    <t>New 1</t>
  </si>
  <si>
    <t>New 11</t>
  </si>
  <si>
    <t>New 15</t>
  </si>
  <si>
    <t>New 12</t>
  </si>
  <si>
    <t>New 13</t>
  </si>
  <si>
    <t>New 14</t>
  </si>
  <si>
    <t>New 16</t>
  </si>
  <si>
    <t>New 8</t>
  </si>
  <si>
    <t>New 9</t>
  </si>
  <si>
    <t>New 10</t>
  </si>
  <si>
    <t>New 17</t>
  </si>
  <si>
    <t>New 18</t>
  </si>
  <si>
    <t xml:space="preserve">New 19 - </t>
  </si>
  <si>
    <t>New 20</t>
  </si>
  <si>
    <t>New 21</t>
  </si>
  <si>
    <t>New 23</t>
  </si>
  <si>
    <t>New 24</t>
  </si>
  <si>
    <t>New 25</t>
  </si>
  <si>
    <t>New 26</t>
  </si>
  <si>
    <t>New 27</t>
  </si>
  <si>
    <t>New 28</t>
  </si>
  <si>
    <t>New 29</t>
  </si>
  <si>
    <t>New 30</t>
  </si>
  <si>
    <t>New 31</t>
  </si>
  <si>
    <t>New 32</t>
  </si>
  <si>
    <t>New 33</t>
  </si>
  <si>
    <t>New 34</t>
  </si>
  <si>
    <t>New 35</t>
  </si>
  <si>
    <t>New 36</t>
  </si>
  <si>
    <t>New 37</t>
  </si>
  <si>
    <t>New 38</t>
  </si>
  <si>
    <t>New 39</t>
  </si>
  <si>
    <t>New 40</t>
  </si>
  <si>
    <t>New 41</t>
  </si>
  <si>
    <t>New 42</t>
  </si>
  <si>
    <t>New 43</t>
  </si>
  <si>
    <t>New 44</t>
  </si>
  <si>
    <t>New 45</t>
  </si>
  <si>
    <t>New 46</t>
  </si>
  <si>
    <t>New 47</t>
  </si>
  <si>
    <t>New 48</t>
  </si>
  <si>
    <t>New 49</t>
  </si>
  <si>
    <t>New 50</t>
  </si>
  <si>
    <t>New 51</t>
  </si>
  <si>
    <t>New 52</t>
  </si>
  <si>
    <t>New 53</t>
  </si>
  <si>
    <t>New 54</t>
  </si>
  <si>
    <t>New 55</t>
  </si>
  <si>
    <t>New 56</t>
  </si>
  <si>
    <t>New 57</t>
  </si>
  <si>
    <t>New 58</t>
  </si>
  <si>
    <t>New 59</t>
  </si>
  <si>
    <t>New 60</t>
  </si>
  <si>
    <t>New 61</t>
  </si>
  <si>
    <t>New 62</t>
  </si>
  <si>
    <t>New 63</t>
  </si>
  <si>
    <t>New 64</t>
  </si>
  <si>
    <t>New 65</t>
  </si>
  <si>
    <t>New 66</t>
  </si>
  <si>
    <t>New 67</t>
  </si>
  <si>
    <t>New 68</t>
  </si>
  <si>
    <t>New 70</t>
  </si>
  <si>
    <t>New 71</t>
  </si>
  <si>
    <t>New 72</t>
  </si>
  <si>
    <t>New 73</t>
  </si>
  <si>
    <t>New 74</t>
  </si>
  <si>
    <t>New 75</t>
  </si>
  <si>
    <t>New 76</t>
  </si>
  <si>
    <t>New 77</t>
  </si>
  <si>
    <t>New 79</t>
  </si>
  <si>
    <t>New 80</t>
  </si>
  <si>
    <t>New 81</t>
  </si>
  <si>
    <t>New 82</t>
  </si>
  <si>
    <t>New 83</t>
  </si>
  <si>
    <t>New 84</t>
  </si>
  <si>
    <t>New 85</t>
  </si>
  <si>
    <t>New 86</t>
  </si>
  <si>
    <t>New 87</t>
  </si>
  <si>
    <t>New 88</t>
  </si>
  <si>
    <t>New 89</t>
  </si>
  <si>
    <t>New 90</t>
  </si>
  <si>
    <t>New 91</t>
  </si>
  <si>
    <t>New 92</t>
  </si>
  <si>
    <t>New 93</t>
  </si>
  <si>
    <t>New 94</t>
  </si>
  <si>
    <t>New 95</t>
  </si>
  <si>
    <t>New 96</t>
  </si>
  <si>
    <t>New 97</t>
  </si>
  <si>
    <t>New 98</t>
  </si>
  <si>
    <t>New 99</t>
  </si>
  <si>
    <t>New 100</t>
  </si>
  <si>
    <t>New 101</t>
  </si>
  <si>
    <t>New 102</t>
  </si>
  <si>
    <t>New 103</t>
  </si>
  <si>
    <t>New 104</t>
  </si>
  <si>
    <t>New 105</t>
  </si>
  <si>
    <t>New 106</t>
  </si>
  <si>
    <t>New 107</t>
  </si>
  <si>
    <t>New 108</t>
  </si>
  <si>
    <t>New 109</t>
  </si>
  <si>
    <t>New 110</t>
  </si>
  <si>
    <t>New 111</t>
  </si>
  <si>
    <t>New 113</t>
  </si>
  <si>
    <t>New 114</t>
  </si>
  <si>
    <t>New 115</t>
  </si>
  <si>
    <t>New 116</t>
  </si>
  <si>
    <t>New 117</t>
  </si>
  <si>
    <t>New 118</t>
  </si>
  <si>
    <t>New 119</t>
  </si>
  <si>
    <t>New 125</t>
  </si>
  <si>
    <t>New 128</t>
  </si>
  <si>
    <t>New 129</t>
  </si>
  <si>
    <t>New 130</t>
  </si>
  <si>
    <t>New 131</t>
  </si>
  <si>
    <t>New 132</t>
  </si>
  <si>
    <t>New 133</t>
  </si>
  <si>
    <t>New 120</t>
  </si>
  <si>
    <t>New 121</t>
  </si>
  <si>
    <t>New 122</t>
  </si>
  <si>
    <t>New 123</t>
  </si>
  <si>
    <t>New 124</t>
  </si>
  <si>
    <t>New 112</t>
  </si>
  <si>
    <t>New 126</t>
  </si>
  <si>
    <t>New 127</t>
  </si>
  <si>
    <t>New 134</t>
  </si>
  <si>
    <t>New 135</t>
  </si>
  <si>
    <t>New 136</t>
  </si>
  <si>
    <t>New 137</t>
  </si>
  <si>
    <t>New 138</t>
  </si>
  <si>
    <t>New 139</t>
  </si>
  <si>
    <t>New 140</t>
  </si>
  <si>
    <t>New 141</t>
  </si>
  <si>
    <t>New 142</t>
  </si>
  <si>
    <t>New 143</t>
  </si>
  <si>
    <t>New 144</t>
  </si>
  <si>
    <t>New 145</t>
  </si>
  <si>
    <t>New 146</t>
  </si>
  <si>
    <t>New 147</t>
  </si>
  <si>
    <t>New 148</t>
  </si>
  <si>
    <t>New 149</t>
  </si>
  <si>
    <t>New 150</t>
  </si>
  <si>
    <t>New 151</t>
  </si>
  <si>
    <t>New 152</t>
  </si>
  <si>
    <t>New 153</t>
  </si>
  <si>
    <t>New 154</t>
  </si>
  <si>
    <t>New 155</t>
  </si>
  <si>
    <t>New 156</t>
  </si>
  <si>
    <t>New 157</t>
  </si>
  <si>
    <t>New 158</t>
  </si>
  <si>
    <t>New 159</t>
  </si>
  <si>
    <t>New 160</t>
  </si>
  <si>
    <t>New 161</t>
  </si>
  <si>
    <t>New 170</t>
  </si>
  <si>
    <t>New 171</t>
  </si>
  <si>
    <t>ID EPIC</t>
  </si>
  <si>
    <t>EP00</t>
  </si>
  <si>
    <t>EP01</t>
  </si>
  <si>
    <t>EP02</t>
  </si>
  <si>
    <t>EP03</t>
  </si>
  <si>
    <t>EP04</t>
  </si>
  <si>
    <t>EP05</t>
  </si>
  <si>
    <t>EP06</t>
  </si>
  <si>
    <t>EP07</t>
  </si>
  <si>
    <t>EP08</t>
  </si>
  <si>
    <t>EP09</t>
  </si>
  <si>
    <t>EP10</t>
  </si>
  <si>
    <t>EP11</t>
  </si>
  <si>
    <t>EP12</t>
  </si>
  <si>
    <t>EP13</t>
  </si>
  <si>
    <t>EP14</t>
  </si>
  <si>
    <t>EP15</t>
  </si>
  <si>
    <t>EP16</t>
  </si>
  <si>
    <t>EP17</t>
  </si>
  <si>
    <t>EP19</t>
  </si>
  <si>
    <t>EP20</t>
  </si>
  <si>
    <t>EP21</t>
  </si>
  <si>
    <t>EP22</t>
  </si>
  <si>
    <t>EP23</t>
  </si>
  <si>
    <t>EP24</t>
  </si>
  <si>
    <t>EP25</t>
  </si>
  <si>
    <t>EP26</t>
  </si>
  <si>
    <t>EP28</t>
  </si>
  <si>
    <t>EP29</t>
  </si>
  <si>
    <t>EP30</t>
  </si>
  <si>
    <t>EP31</t>
  </si>
  <si>
    <t>EP32</t>
  </si>
  <si>
    <t>EP33</t>
  </si>
  <si>
    <t>EP34</t>
  </si>
  <si>
    <t>EP35</t>
  </si>
  <si>
    <t>EP36</t>
  </si>
  <si>
    <t>EP38</t>
  </si>
  <si>
    <t>EP40</t>
  </si>
  <si>
    <t>EP41</t>
  </si>
  <si>
    <t>EP42</t>
  </si>
  <si>
    <t>EPIC</t>
  </si>
  <si>
    <t>ID US</t>
  </si>
  <si>
    <t>US - Name</t>
  </si>
  <si>
    <t>User Story (US)</t>
  </si>
  <si>
    <t xml:space="preserve">IAC - Schéma de base / Classe &amp; Microservices. </t>
  </si>
  <si>
    <t>US01</t>
  </si>
  <si>
    <t>Microservices</t>
  </si>
  <si>
    <t>US02</t>
  </si>
  <si>
    <t>Schéma de BD</t>
  </si>
  <si>
    <t>US03</t>
  </si>
  <si>
    <t>Infrastructure</t>
  </si>
  <si>
    <t>Splash Screen &amp; Onboarding</t>
  </si>
  <si>
    <t>Splash Screen</t>
  </si>
  <si>
    <t>En tant qu’utilisateur, je veux voir à l'ouverture de l'application : 
- La carte de Casablanca (1s) (ancrage local)
- les lignes de la carte s'estomperprogressivement afin de focaliser l'attention sur le logo LYFE (1s) (identification de la marque)
- les lettres L,F et E s'estomper progressivement laissant place au Symbole Y (signe de paix) pour renforcer l'identité émotionnelle de LYFE
l'animation doit se faire en moins de 3s</t>
  </si>
  <si>
    <t>Onboarding sliders</t>
  </si>
  <si>
    <t>En tant qu'utilisateur, je dois pouvoir; lors d'une première utilisation de l'application, accéder aux trois écrans d'onboarding présentant les fonctionnalités "Events", "Restaurants", "Drinks", et défiler entre ces écrans de gauche à droite et inversement</t>
  </si>
  <si>
    <t>Get Started</t>
  </si>
  <si>
    <t>En tant qu'utilisateur, je dois pouvoir; aprés avoir défiles les Onboarding sliders de démarrer mon activité sur l'application via le bouton "Get Started"</t>
  </si>
  <si>
    <t>Onboarding &amp; Authentification</t>
  </si>
  <si>
    <t>Welcome screen</t>
  </si>
  <si>
    <t>En tant qu'utilisateur, je dois pouvoir accéder au welcome screen, m'invitant à me connecter, créer mon compte, ou avancer en mode invité</t>
  </si>
  <si>
    <t>Inscription utilisateur &amp; Création de compte</t>
  </si>
  <si>
    <t>En tant que nouvel utilisateur, je dois pouvoir choisir entre les méthodes suivantes d'inscription et de création de compte : 
- Email/Passeword
- à travers un compte social (Google/Facebook/Apple)</t>
  </si>
  <si>
    <t>Inscription sociale avec vérification Google/Facebook/Apple</t>
  </si>
  <si>
    <t xml:space="preserve">En tant qu’utilisateur, je veux pouvoir créer un compte en cliquant sur le bouton "Conitnuer avec Google/Facebook/Apple) </t>
  </si>
  <si>
    <t>US04</t>
  </si>
  <si>
    <t>Création de compte et Confirmation d'inscription via Email/Whatsapp</t>
  </si>
  <si>
    <t xml:space="preserve"> En tant qu'utilisateur, je dois pouvoir lancer la création de mon compte via le boutotn "Création de compte". Le bouton doit me renvoyer vers un écran de saisie de mes informations personnelles : Nom complet, email, téléphone, Mot de passe et confirmation de mot de passe. Une fois la saisie terminée, le boutotn "Créer mon compte" doit devenir accessible et envoyer un code de vérification à mon mail ou ) mon whatsapp,  et me renvoyer vers un nouvele écran de vérification pour pouvoir saisir le code partagé (choix possible entre les deux méthodes). </t>
  </si>
  <si>
    <t>US05</t>
  </si>
  <si>
    <t>Accès en mode invité limité</t>
  </si>
  <si>
    <t>En tant que nouvel utilisateur ou utilisateur non connecté à son compte, je veux continuer en invité afin de découvrir l’app sans créer de compte.</t>
  </si>
  <si>
    <t>US06</t>
  </si>
  <si>
    <t>Blocage fonctionnel incitant les utilisateurs invités à l’inscription</t>
  </si>
  <si>
    <t>En tant qu’invité, je ne dois avoir accès qu'en lecture à certaines fonctionnalités, je ne dois pas pouvoir effectuer de reservations</t>
  </si>
  <si>
    <t>Sécurité &amp; Connexion</t>
  </si>
  <si>
    <t>Connexion via, Google/Facebook/Apple</t>
  </si>
  <si>
    <t xml:space="preserve">En tant qu’utilisateur, je veux pouvoir me connecter à mon compte en cliquant sur le bouton "Conitnuer avec Google/Facebook/Apple) </t>
  </si>
  <si>
    <t>Connexion par email/mot de passe</t>
  </si>
  <si>
    <t>En tant qu’utilisateur, je veux me connecter avec mon email et mot de passe afin d’accéder à mon compte existant.</t>
  </si>
  <si>
    <t>Authentification Face ID / biométrique</t>
  </si>
  <si>
    <t>En tant qu’utilisateur, je veux pouvoir utiliser Face ID/Biométrique afin de me connecter rapidement et en toute sécurité.</t>
  </si>
  <si>
    <t>Option “Se souvenir de moi”</t>
  </si>
  <si>
    <t>En tant qu’utilisateur, je veux rester connecté afin d’éviter de ressaisir mes identifiants.</t>
  </si>
  <si>
    <t>Gestion des erreurs de connexion</t>
  </si>
  <si>
    <t>En tant qu’utilisateur, je veux des messages clairs en cas d’erreur de connexion</t>
  </si>
  <si>
    <t>Mot de passe oublié</t>
  </si>
  <si>
    <t>En tant qu'utilisateur, je dois pouvoir récuperer mon mot de passe via e-mail/Whatsapp</t>
  </si>
  <si>
    <t>Consentements &amp; Data</t>
  </si>
  <si>
    <t>Collecte email utilisateur</t>
  </si>
  <si>
    <t>En tant que système, je veux collecter l’email afin d’identifier l’utilisateur et lancer des campagnes marketing.</t>
  </si>
  <si>
    <t>Consentements explicites par checkbox</t>
  </si>
  <si>
    <t>En tant qu’utilisateur, je veux choisir clairement ce que j’accepte.</t>
  </si>
  <si>
    <t>Section “Pourquoi c’est important”</t>
  </si>
  <si>
    <t>En tant qu’utilisateur, je veux comprendre l’utilité de chaque permission.</t>
  </si>
  <si>
    <t>Consentement marketing &amp; ciblage publicitaire</t>
  </si>
  <si>
    <t>En tant qu’utilisateur, je veux pouvoir accepter ou refuser l’utilisation de mes données à des fins marketing et publicitaires afin de garder le contrôle sur la manière dont mes données sont exploitées.</t>
  </si>
  <si>
    <t>Consentement suivi comportemental (analytics &amp; personnalisation)</t>
  </si>
  <si>
    <t>En tant qu’utilisateur, je veux pouvoir accepter ou refuser le suivi de mon comportement afin de bénéficier (ou non) d’une expérience personnalisée.</t>
  </si>
  <si>
    <t>Permission localisation</t>
  </si>
  <si>
    <t>En tant qu’utilisateur, je veux comprendre pourquoi LYFE demande ma localisation afin de décider en toute connaissance de cause si je l’autorise.</t>
  </si>
  <si>
    <t>Menu Principal &amp; Navigation</t>
  </si>
  <si>
    <t>Profile setup &amp; First Launch</t>
  </si>
  <si>
    <t>en tant qu'utilisateur, je dois pouvoir lors d'une première connexion, ajouter une photo de profile, selectionner mes préférences en terme de cuisine, d'ambiance ou de budget. 
Cette étape doit etre optionnelle et laissé au choix de l'utilisateur; elle est finalisée par un click sur le bouton "Continue"  ou "Skip"</t>
  </si>
  <si>
    <t>Affichage du menu principal</t>
  </si>
  <si>
    <t xml:space="preserve">En tant qu’utilisateur, je veux voir clairement : 
- le hub de navigation avec  les catégories Restaurants, Drinks et Events afin de comprendre immédiatement les possibilités offertes par LYFE.
- la barre de navigation avec les options Home, découvrir, reservations, Fidélité, Profil </t>
  </si>
  <si>
    <t>Restaurant Listing &amp; Filters</t>
  </si>
  <si>
    <t>Accès à la catégorie Restaurants</t>
  </si>
  <si>
    <t>En tant qu’utilisateur, je veux accéder à la section Restaurants via le bouton "Explorer le menu" du premier menu affiché lors de la première connexion ou du hub de navigation dans la section "Découvrir"</t>
  </si>
  <si>
    <t xml:space="preserve">Affichage de la liste des retaurants </t>
  </si>
  <si>
    <t>En tant qu'utilisateur, je veux pouvoir voir la liste de l'ensemle des restaurants et pouvoir scroller 
l'affichage devra se faire sur deux rubrique : Populaire en premier temps et plus bas tous les restaurants</t>
  </si>
  <si>
    <t>Recherche de restaurant</t>
  </si>
  <si>
    <t xml:space="preserve">En tant qu'utilisateur, je dois pouvoir chercher un restaurant dans la barre de recherche, par nom, ou une partie du nom, </t>
  </si>
  <si>
    <t>Filtre par ville</t>
  </si>
  <si>
    <t xml:space="preserve">En tant qu'Utilisateurn je dois pouvoir filtrer par ville, en ayant une idée sur le nombre de resultats trouvés pour chaque ville </t>
  </si>
  <si>
    <t>Autres filtres</t>
  </si>
  <si>
    <t>En tant qu'utilisateur je dois pourvoir filtrer par popularité, type de cuisine, budget, note, quartier.</t>
  </si>
  <si>
    <t>Suggestions de recherche en temps réel</t>
  </si>
  <si>
    <r>
      <rPr>
        <b/>
        <sz val="11"/>
        <color theme="1"/>
        <rFont val="Calibri"/>
        <family val="2"/>
        <scheme val="minor"/>
      </rPr>
      <t>En tant qu’utilisateur</t>
    </r>
    <r>
      <rPr>
        <sz val="11"/>
        <color theme="1"/>
        <rFont val="Calibri"/>
        <family val="2"/>
        <scheme val="minor"/>
      </rPr>
      <t>, je veux voir des suggestions pendant ma saisie afin de gagner du temps.</t>
    </r>
  </si>
  <si>
    <t>US07</t>
  </si>
  <si>
    <t>Historique de recherche personnalisé</t>
  </si>
  <si>
    <r>
      <rPr>
        <b/>
        <sz val="11"/>
        <color theme="1"/>
        <rFont val="Calibri"/>
        <family val="2"/>
        <scheme val="minor"/>
      </rPr>
      <t>En tant qu’utilisateur</t>
    </r>
    <r>
      <rPr>
        <sz val="11"/>
        <color theme="1"/>
        <rFont val="Calibri"/>
        <family val="2"/>
        <scheme val="minor"/>
      </rPr>
      <t>, je veux retrouver mes recherches précédentes afin de relancer rapidement une intention.</t>
    </r>
  </si>
  <si>
    <t>US08</t>
  </si>
  <si>
    <t>Filtres avancés (prix, note, distance, cuisine, ...)</t>
  </si>
  <si>
    <r>
      <rPr>
        <b/>
        <sz val="11"/>
        <color theme="1"/>
        <rFont val="Calibri"/>
        <family val="2"/>
        <scheme val="minor"/>
      </rPr>
      <t>En tant qu’utilisateur</t>
    </r>
    <r>
      <rPr>
        <sz val="11"/>
        <color theme="1"/>
        <rFont val="Calibri"/>
        <family val="2"/>
        <scheme val="minor"/>
      </rPr>
      <t>, je veux filtrer les résultats afin d’affiner ma recherche selon mes critères.</t>
    </r>
  </si>
  <si>
    <t>Restaurant Details</t>
  </si>
  <si>
    <t xml:space="preserve">Restaurant details </t>
  </si>
  <si>
    <t>En tant qu'utilisateur, je dois pouvoir visualiser le détails relatif à chaque restaurants de la  liste affichée en cliquant sur lel bouton "Voir détails". L'ecran détails doit comprendre 4 sections : Apercu, Avis, Info et menu en plus de la sections photos , en plus des deux boutons en bas : "direction" &amp; "Reserver"</t>
  </si>
  <si>
    <t>Restaurant details - overview</t>
  </si>
  <si>
    <t xml:space="preserve">En tant qu'utilisateur, je dois pouvoir voir les informations suivantes sur la section apercu : ville, budget, catégorie, capacité, et équipements </t>
  </si>
  <si>
    <t>Restaurant details - reviews</t>
  </si>
  <si>
    <t>En tant qu'utilisateur je dois pouvoir visualiser et lire les avis sur ce restaurant. 
Je dois également etre dans la possibiliter d'émettre un (premier) avis sur ce restaurant</t>
  </si>
  <si>
    <t>Restaurant details - info</t>
  </si>
  <si>
    <t>En tant qu'utilisateur, je dois pouvoir obtenir l'itinéraire vers le restaurants et l'adresse du restaurant</t>
  </si>
  <si>
    <t>Restaurant details - menu</t>
  </si>
  <si>
    <t xml:space="preserve">En tant qu'utilisateur, je dois pouvoir avoir accès au menu que propose le restaurants </t>
  </si>
  <si>
    <t>Action "Direction" depuis l'écran détail</t>
  </si>
  <si>
    <r>
      <rPr>
        <b/>
        <sz val="11"/>
        <color theme="1"/>
        <rFont val="Calibri"/>
        <family val="2"/>
        <scheme val="minor"/>
      </rPr>
      <t>En tant qu’utilisateur</t>
    </r>
    <r>
      <rPr>
        <sz val="11"/>
        <color theme="1"/>
        <rFont val="Calibri"/>
        <family val="2"/>
        <scheme val="minor"/>
      </rPr>
      <t xml:space="preserve">, je veux pouvoir obtenir l'itineraire et les étapes à suivre afin d'arriver à la destination (le restaurant) </t>
    </r>
  </si>
  <si>
    <t>Action “Reserve” depuis l'écran détail</t>
  </si>
  <si>
    <r>
      <rPr>
        <b/>
        <sz val="11"/>
        <color theme="1"/>
        <rFont val="Calibri"/>
        <family val="2"/>
        <scheme val="minor"/>
      </rPr>
      <t>En tant qu’utilisateur</t>
    </r>
    <r>
      <rPr>
        <sz val="11"/>
        <color theme="1"/>
        <rFont val="Calibri"/>
        <family val="2"/>
        <scheme val="minor"/>
      </rPr>
      <t>, je veux pouvoir faire une reservation à partir du bouton Reserver</t>
    </r>
  </si>
  <si>
    <t xml:space="preserve">Sauvegarde d’un restaurant en favoris </t>
  </si>
  <si>
    <r>
      <rPr>
        <b/>
        <sz val="11"/>
        <color theme="1"/>
        <rFont val="Calibri"/>
        <family val="2"/>
        <scheme val="minor"/>
      </rPr>
      <t>En tant qu’utilisateur</t>
    </r>
    <r>
      <rPr>
        <sz val="11"/>
        <color theme="1"/>
        <rFont val="Calibri"/>
        <family val="2"/>
        <scheme val="minor"/>
      </rPr>
      <t>, je veux ajouter un restaurant à mes favoris afin de le retrouver facilement plus tard.</t>
    </r>
  </si>
  <si>
    <t>US09</t>
  </si>
  <si>
    <t>Sauvegarde d’un restaurant en whislist</t>
  </si>
  <si>
    <r>
      <rPr>
        <b/>
        <sz val="11"/>
        <color theme="1"/>
        <rFont val="Calibri"/>
        <family val="2"/>
        <scheme val="minor"/>
      </rPr>
      <t>En tant qu’utilisateur</t>
    </r>
    <r>
      <rPr>
        <sz val="11"/>
        <color theme="1"/>
        <rFont val="Calibri"/>
        <family val="2"/>
        <scheme val="minor"/>
      </rPr>
      <t>, je veux ajouter un restaurant à ma  liste de souhait afin de le retrouver facilement plus tard.</t>
    </r>
  </si>
  <si>
    <t>Restaurant - Data &amp; Analysis</t>
  </si>
  <si>
    <t>Tracking clics par catégorie</t>
  </si>
  <si>
    <r>
      <rPr>
        <b/>
        <sz val="11"/>
        <color theme="1"/>
        <rFont val="Calibri"/>
        <family val="2"/>
        <scheme val="minor"/>
      </rPr>
      <t>En tant que produit</t>
    </r>
    <r>
      <rPr>
        <sz val="11"/>
        <color theme="1"/>
        <rFont val="Calibri"/>
        <family val="2"/>
        <scheme val="minor"/>
      </rPr>
      <t>, je veux mesurer les clics sur les établissements et filtres afin d’identifier les catégories les plus attractives.</t>
    </r>
  </si>
  <si>
    <t>Analyse zones géographiques populaires</t>
  </si>
  <si>
    <r>
      <rPr>
        <b/>
        <sz val="11"/>
        <color theme="1"/>
        <rFont val="Calibri"/>
        <family val="2"/>
        <scheme val="minor"/>
      </rPr>
      <t>En tant que produit</t>
    </r>
    <r>
      <rPr>
        <sz val="11"/>
        <color theme="1"/>
        <rFont val="Calibri"/>
        <family val="2"/>
        <scheme val="minor"/>
      </rPr>
      <t>, je veux analyser les zones les plus consultées afin de proposer des partenariats ciblés.</t>
    </r>
  </si>
  <si>
    <t>Tracking likes, favoris et réservations</t>
  </si>
  <si>
    <r>
      <rPr>
        <b/>
        <sz val="11"/>
        <color theme="1"/>
        <rFont val="Calibri"/>
        <family val="2"/>
        <scheme val="minor"/>
      </rPr>
      <t>En tant que produit</t>
    </r>
    <r>
      <rPr>
        <sz val="11"/>
        <color theme="1"/>
        <rFont val="Calibri"/>
        <family val="2"/>
        <scheme val="minor"/>
      </rPr>
      <t>, je veux mesurer les interactions par catégorie afin d’évaluer la performance business.</t>
    </r>
  </si>
  <si>
    <t>Tracking durée de session &amp; scroll</t>
  </si>
  <si>
    <r>
      <rPr>
        <b/>
        <sz val="11"/>
        <color theme="1"/>
        <rFont val="Calibri"/>
        <family val="2"/>
        <scheme val="minor"/>
      </rPr>
      <t>En tant que produit</t>
    </r>
    <r>
      <rPr>
        <sz val="11"/>
        <color theme="1"/>
        <rFont val="Calibri"/>
        <family val="2"/>
        <scheme val="minor"/>
      </rPr>
      <t>, je veux mesurer le temps passé et la profondeur de scroll afin d’évaluer l’intérêt utilisateur.</t>
    </r>
  </si>
  <si>
    <t>Tracking recherches &amp; préférences de tri</t>
  </si>
  <si>
    <r>
      <rPr>
        <b/>
        <sz val="11"/>
        <color theme="1"/>
        <rFont val="Calibri"/>
        <family val="2"/>
        <scheme val="minor"/>
      </rPr>
      <t>En tant que produit</t>
    </r>
    <r>
      <rPr>
        <sz val="11"/>
        <color theme="1"/>
        <rFont val="Calibri"/>
        <family val="2"/>
        <scheme val="minor"/>
      </rPr>
      <t>, je veux analyser les termes de recherche et tris afin d’améliorer la pertinence des résultats.</t>
    </r>
  </si>
  <si>
    <t>Tracking interactions notifications &amp; partages</t>
  </si>
  <si>
    <r>
      <rPr>
        <b/>
        <sz val="11"/>
        <color theme="1"/>
        <rFont val="Calibri"/>
        <family val="2"/>
        <scheme val="minor"/>
      </rPr>
      <t>En tant que produit</t>
    </r>
    <r>
      <rPr>
        <sz val="11"/>
        <color theme="1"/>
        <rFont val="Calibri"/>
        <family val="2"/>
        <scheme val="minor"/>
      </rPr>
      <t>, je veux mesurer l’impact des notifications et partages afin d’optimiser l’acquisition et la rétention.</t>
    </r>
  </si>
  <si>
    <t>Restaurant - Parcours de Réservation &amp; Conversion</t>
  </si>
  <si>
    <t>Indicateur de progression</t>
  </si>
  <si>
    <r>
      <rPr>
        <b/>
        <sz val="11"/>
        <color theme="1"/>
        <rFont val="Calibri"/>
        <family val="2"/>
        <scheme val="minor"/>
      </rPr>
      <t>En tant qu’utilisateur</t>
    </r>
    <r>
      <rPr>
        <sz val="11"/>
        <color theme="1"/>
        <rFont val="Calibri"/>
        <family val="2"/>
        <scheme val="minor"/>
      </rPr>
      <t>, je veux voir les étapes de réservation ( Date &amp; Heure → Invité → Special request → Confirmation) afin de savoir où j’en suis dans le processus.</t>
    </r>
  </si>
  <si>
    <t>Sélection date &amp; heure</t>
  </si>
  <si>
    <r>
      <rPr>
        <b/>
        <sz val="11"/>
        <color theme="1"/>
        <rFont val="Calibri"/>
        <family val="2"/>
        <scheme val="minor"/>
      </rPr>
      <t>En tant qu’utilisateur</t>
    </r>
    <r>
      <rPr>
        <sz val="11"/>
        <color theme="1"/>
        <rFont val="Calibri"/>
        <family val="2"/>
        <scheme val="minor"/>
      </rPr>
      <t>, je veux choisir une date et une heure afin de réserver au bon créneau.</t>
    </r>
  </si>
  <si>
    <t>Mise en évidence des créneaux populaires</t>
  </si>
  <si>
    <r>
      <rPr>
        <b/>
        <sz val="11"/>
        <color theme="1"/>
        <rFont val="Calibri"/>
        <family val="2"/>
        <scheme val="minor"/>
      </rPr>
      <t>En tant qu’utilisateur</t>
    </r>
    <r>
      <rPr>
        <sz val="11"/>
        <color theme="1"/>
        <rFont val="Calibri"/>
        <family val="2"/>
        <scheme val="minor"/>
      </rPr>
      <t>, je veux voir les créneaux les plus demandés afin de faire un choix éclairé.</t>
    </r>
  </si>
  <si>
    <t>Check de la disponibilité en temps réél</t>
  </si>
  <si>
    <t xml:space="preserve">En tant qu'utilisateur, je veux pouvoir voir que les créneaux disponibles </t>
  </si>
  <si>
    <t>Sélection du nombre d’invités</t>
  </si>
  <si>
    <r>
      <rPr>
        <b/>
        <sz val="11"/>
        <color theme="1"/>
        <rFont val="Calibri"/>
        <family val="2"/>
        <scheme val="minor"/>
      </rPr>
      <t>En tant qu’utilisateur</t>
    </r>
    <r>
      <rPr>
        <sz val="11"/>
        <color theme="1"/>
        <rFont val="Calibri"/>
        <family val="2"/>
        <scheme val="minor"/>
      </rPr>
      <t>, je veux sélectionner le nombre de personnes afin d’adapter la réservation à mon groupe. Je peux choisir entre 1 et 20 invités maximum</t>
    </r>
  </si>
  <si>
    <t>ajout de mentions ou demandes spéciales</t>
  </si>
  <si>
    <r>
      <rPr>
        <b/>
        <sz val="11"/>
        <color theme="1"/>
        <rFont val="Calibri"/>
        <family val="2"/>
        <scheme val="minor"/>
      </rPr>
      <t>En tant qu’utilisateur</t>
    </r>
    <r>
      <rPr>
        <sz val="11"/>
        <color theme="1"/>
        <rFont val="Calibri"/>
        <family val="2"/>
        <scheme val="minor"/>
      </rPr>
      <t>, je veux pouvoir partager avec le restaurants mes demandes spéciales (allergies, préference de siège, évènements, ...)  et des options (menus, accords vins, places premium) afin d’améliorer mon expérience.</t>
    </r>
  </si>
  <si>
    <t>Revue et confirmation du process de reservation - résumé</t>
  </si>
  <si>
    <r>
      <rPr>
        <b/>
        <sz val="11"/>
        <color theme="1"/>
        <rFont val="Calibri"/>
        <family val="2"/>
        <scheme val="minor"/>
      </rPr>
      <t>En tant qu’utilisateur</t>
    </r>
    <r>
      <rPr>
        <sz val="11"/>
        <color theme="1"/>
        <rFont val="Calibri"/>
        <family val="2"/>
        <scheme val="minor"/>
      </rPr>
      <t>, je veux pouvoir visualiser le détail de ma demande de reservation avant de la confirmer. Le résumé dois comprendre la totalité des éléments communiqués dans les écrans précédants : le lieu, la date, l'heure, le nombre d'invité et une indication sur les avantage que je peux avoir à l'issue de cette reservation (points de fidelité) 
je dois aussi pouvoir retourner en arrière , avec le bouton "Retour"pour corriger certaines information dans le process de reservation
une fois les éléments ok pour moi en tant qu'utilisateur, je dois pouvoir confirmer via le bouton "Confirmer"</t>
    </r>
  </si>
  <si>
    <t>Confirmation de réservation</t>
  </si>
  <si>
    <r>
      <rPr>
        <b/>
        <sz val="11"/>
        <color theme="1"/>
        <rFont val="Calibri"/>
        <family val="2"/>
        <scheme val="minor"/>
      </rPr>
      <t>En tant qu’utilisateur</t>
    </r>
    <r>
      <rPr>
        <sz val="11"/>
        <color theme="1"/>
        <rFont val="Calibri"/>
        <family val="2"/>
        <scheme val="minor"/>
      </rPr>
      <t>, je veux recevoir une confirmation claire afin d’être sûr que ma réservation est validée.</t>
    </r>
  </si>
  <si>
    <t>Politique d’annulation visible</t>
  </si>
  <si>
    <r>
      <rPr>
        <b/>
        <sz val="11"/>
        <color theme="1"/>
        <rFont val="Calibri"/>
        <family val="2"/>
        <scheme val="minor"/>
      </rPr>
      <t>En tant qu’utilisateur</t>
    </r>
    <r>
      <rPr>
        <sz val="11"/>
        <color theme="1"/>
        <rFont val="Calibri"/>
        <family val="2"/>
        <scheme val="minor"/>
      </rPr>
      <t>, je veux voir la politique d’annulation avant de confirmer afin d’éviter les mauvaises surprises.</t>
    </r>
  </si>
  <si>
    <t>US10</t>
  </si>
  <si>
    <t>Champ code promo</t>
  </si>
  <si>
    <r>
      <rPr>
        <b/>
        <sz val="11"/>
        <color theme="1"/>
        <rFont val="Calibri"/>
        <family val="2"/>
        <scheme val="minor"/>
      </rPr>
      <t>En tant qu’utilisateur</t>
    </r>
    <r>
      <rPr>
        <sz val="11"/>
        <color theme="1"/>
        <rFont val="Calibri"/>
        <family val="2"/>
        <scheme val="minor"/>
      </rPr>
      <t>, je veux saisir un code promo afin de bénéficier d’une réduction éventuelle.</t>
    </r>
  </si>
  <si>
    <t>US11</t>
  </si>
  <si>
    <t>Intégration programme de fidélité</t>
  </si>
  <si>
    <r>
      <rPr>
        <b/>
        <sz val="11"/>
        <color theme="1"/>
        <rFont val="Calibri"/>
        <family val="2"/>
        <scheme val="minor"/>
      </rPr>
      <t>En tant qu’utilisateur</t>
    </r>
    <r>
      <rPr>
        <sz val="11"/>
        <color theme="1"/>
        <rFont val="Calibri"/>
        <family val="2"/>
        <scheme val="minor"/>
      </rPr>
      <t>, je veux gagner des points lors de ma réservation afin d’être récompensé de ma fidélité.</t>
    </r>
  </si>
  <si>
    <t>Restaurant - Tracking &amp; Optimisation du Tunnel</t>
  </si>
  <si>
    <t>Tracking taux de conversion</t>
  </si>
  <si>
    <r>
      <rPr>
        <b/>
        <sz val="11"/>
        <color theme="1"/>
        <rFont val="Calibri"/>
        <family val="2"/>
        <scheme val="minor"/>
      </rPr>
      <t>En tant que produit</t>
    </r>
    <r>
      <rPr>
        <sz val="11"/>
        <color theme="1"/>
        <rFont val="Calibri"/>
        <family val="2"/>
        <scheme val="minor"/>
      </rPr>
      <t>, je veux mesurer le pourcentage d’utilisateurs entrant et confirmant une réservation afin d’optimiser le tunnel.</t>
    </r>
  </si>
  <si>
    <t>Tracking étapes abandonnées</t>
  </si>
  <si>
    <r>
      <rPr>
        <b/>
        <sz val="11"/>
        <color theme="1"/>
        <rFont val="Calibri"/>
        <family val="2"/>
        <scheme val="minor"/>
      </rPr>
      <t>En tant que produit</t>
    </r>
    <r>
      <rPr>
        <sz val="11"/>
        <color theme="1"/>
        <rFont val="Calibri"/>
        <family val="2"/>
        <scheme val="minor"/>
      </rPr>
      <t>, je veux savoir à quelle étape les utilisateurs quittent le flux afin de réduire les abandons.</t>
    </r>
  </si>
  <si>
    <t>Tracking demandes spéciales</t>
  </si>
  <si>
    <r>
      <rPr>
        <b/>
        <sz val="11"/>
        <color theme="1"/>
        <rFont val="Calibri"/>
        <family val="2"/>
        <scheme val="minor"/>
      </rPr>
      <t>En tant que produit</t>
    </r>
    <r>
      <rPr>
        <sz val="11"/>
        <color theme="1"/>
        <rFont val="Calibri"/>
        <family val="2"/>
        <scheme val="minor"/>
      </rPr>
      <t>, je veux analyser les demandes spéciales afin d’anticiper les attentes clients.</t>
    </r>
  </si>
  <si>
    <t>Tracking codes promo &amp; usages</t>
  </si>
  <si>
    <r>
      <rPr>
        <b/>
        <sz val="11"/>
        <color theme="1"/>
        <rFont val="Calibri"/>
        <family val="2"/>
        <scheme val="minor"/>
      </rPr>
      <t>En tant que produit</t>
    </r>
    <r>
      <rPr>
        <sz val="11"/>
        <color theme="1"/>
        <rFont val="Calibri"/>
        <family val="2"/>
        <scheme val="minor"/>
      </rPr>
      <t>, je veux mesurer l’utilisation des codes promo afin d’évaluer les campagnes marketing.</t>
    </r>
  </si>
  <si>
    <t>Drinks/Cellar Listing &amp; Filters
Filter</t>
  </si>
  <si>
    <t>Accès à la catégorie Drinks / Cellar</t>
  </si>
  <si>
    <t>En tant qu’utilisateur, je veux accéder à la section Drinks  via le bouton "Profiter" du premier menu affiché lors de la première connexion ou du hub de navigation dans la section "Découvrir"</t>
  </si>
  <si>
    <t>Affichage des sous-catégories (Bars, Rooftop, Wine, Lounge)</t>
  </si>
  <si>
    <r>
      <rPr>
        <b/>
        <sz val="11"/>
        <color theme="1"/>
        <rFont val="Calibri"/>
        <family val="2"/>
        <scheme val="minor"/>
      </rPr>
      <t>En tant qu’utilisateur</t>
    </r>
    <r>
      <rPr>
        <sz val="11"/>
        <color theme="1"/>
        <rFont val="Calibri"/>
        <family val="2"/>
        <scheme val="minor"/>
      </rPr>
      <t>, je veux voir des sous-catégories claires afin de filtrer rapidement le type d’expérience recherchée.</t>
    </r>
  </si>
  <si>
    <t>Listing des établissements</t>
  </si>
  <si>
    <r>
      <rPr>
        <b/>
        <sz val="11"/>
        <color theme="1"/>
        <rFont val="Calibri"/>
        <family val="2"/>
        <scheme val="minor"/>
      </rPr>
      <t>En tant qu’utilisateur</t>
    </r>
    <r>
      <rPr>
        <sz val="11"/>
        <color theme="1"/>
        <rFont val="Calibri"/>
        <family val="2"/>
        <scheme val="minor"/>
      </rPr>
      <t>, je veux voir une liste d’établissements avec note, distance, statut et type afin de comparer rapidement les options et je dois pouvoir scroller . L'affichage se fait en deux rubrique : "Populaires autour de vous" et "Tous les lieux"</t>
    </r>
  </si>
  <si>
    <t>Recherche de Venue</t>
  </si>
  <si>
    <t>En tant qu'utilisateur, je dois pouvoir chercher un établissement dans la barre de recherche, par nom, ou une partie du nom</t>
  </si>
  <si>
    <t xml:space="preserve">En tant qu'Utilisateur, je dois pouvoir filtrer par ville, en ayant une idée sur le nombre de resultats trouvés pour chaque ville </t>
  </si>
  <si>
    <t xml:space="preserve">En tant qu'utilisateur je dois pourvoir filtrer par popularité, type de lieu gamme de prix,  note, quartier, type de musique, caractéristiques, dress code, </t>
  </si>
  <si>
    <t>Tri des Venues</t>
  </si>
  <si>
    <t>En tant qu'utilisateur, je dois pouvoir trier les résultats des établissement en fonction de leur popularité, note, prix</t>
  </si>
  <si>
    <t xml:space="preserve">Sauvegarde d’un lieu en favoris </t>
  </si>
  <si>
    <r>
      <rPr>
        <b/>
        <sz val="11"/>
        <color theme="1"/>
        <rFont val="Calibri"/>
        <family val="2"/>
        <scheme val="minor"/>
      </rPr>
      <t>En tant qu’utilisateur</t>
    </r>
    <r>
      <rPr>
        <sz val="11"/>
        <color theme="1"/>
        <rFont val="Calibri"/>
        <family val="2"/>
        <scheme val="minor"/>
      </rPr>
      <t>, je veux ajouter un lieu à mes favoris afin de le retrouver facilement plus tard.</t>
    </r>
  </si>
  <si>
    <t>US12</t>
  </si>
  <si>
    <t>Sauvegarde d’un lieu en whislist</t>
  </si>
  <si>
    <r>
      <rPr>
        <b/>
        <sz val="11"/>
        <color theme="1"/>
        <rFont val="Calibri"/>
        <family val="2"/>
        <scheme val="minor"/>
      </rPr>
      <t>En tant qu’utilisateur</t>
    </r>
    <r>
      <rPr>
        <sz val="11"/>
        <color theme="1"/>
        <rFont val="Calibri"/>
        <family val="2"/>
        <scheme val="minor"/>
      </rPr>
      <t>, je veux ajouter un lieu à ma  liste de souhait afin de le retrouver facilement plus tard.</t>
    </r>
  </si>
  <si>
    <t>Drinks/Cellar - Venue detail</t>
  </si>
  <si>
    <t>Accès à la fiche établissement depuis la liste</t>
  </si>
  <si>
    <r>
      <rPr>
        <b/>
        <sz val="11"/>
        <color theme="1"/>
        <rFont val="Calibri"/>
        <family val="2"/>
        <scheme val="minor"/>
      </rPr>
      <t>En tant qu’utilisateur</t>
    </r>
    <r>
      <rPr>
        <sz val="11"/>
        <color theme="1"/>
        <rFont val="Calibri"/>
        <family val="2"/>
        <scheme val="minor"/>
      </rPr>
      <t>, je veux cliquer sur un établissement afin d’accéder à sa fiche détaillée.</t>
    </r>
  </si>
  <si>
    <t xml:space="preserve">Venue details </t>
  </si>
  <si>
    <t>En tant qu'utilisateur, je dois pouvoir visualiser le détails relatif à chaque etablissement de la  liste affichée. L'ecran détails doit comprendre 4 sections : Apercu, Avis, Info et Carte en plus de la sections photos , en plus des deux boutons en bas : "direction" &amp; "Reserver"</t>
  </si>
  <si>
    <t>Venue details - overview</t>
  </si>
  <si>
    <t xml:space="preserve">En tant qu'utilisateur, je dois pouvoir voir les informations suivantes sur la section apercu : ville, adresse; gamme budget, Description; Photos, détails (Type, catégorie, Capacité), et équipements </t>
  </si>
  <si>
    <t>venue details - reviews</t>
  </si>
  <si>
    <t xml:space="preserve">En tant qu'utilisateur je dois pouvoir visualiser et lire les avis sur cet étblissement 
je dois également pouvoir emettre un (premier) avis sur l'etablissement) </t>
  </si>
  <si>
    <t>venue details - info</t>
  </si>
  <si>
    <t>En tant qu'utilisateur, je dois pouvoir obtenir l'itinéraire vers le restaurants et l'adresse de l'établissement</t>
  </si>
  <si>
    <t>venue details - Carte</t>
  </si>
  <si>
    <t>En tant qu'utilisateur, je dois pouvoir avoir accès à la carte des boissons que propose l'établissement</t>
  </si>
  <si>
    <r>
      <rPr>
        <b/>
        <sz val="11"/>
        <color theme="1"/>
        <rFont val="Calibri"/>
        <family val="2"/>
        <scheme val="minor"/>
      </rPr>
      <t>En tant qu’utilisateur</t>
    </r>
    <r>
      <rPr>
        <sz val="11"/>
        <color theme="1"/>
        <rFont val="Calibri"/>
        <family val="2"/>
        <scheme val="minor"/>
      </rPr>
      <t xml:space="preserve">, je veux pouvoir obtenir l'itineraire et les étapes à suivre afin d'arriver à la destination (Venue) </t>
    </r>
  </si>
  <si>
    <t>Drinks/Cellar - Parcours de Réservation &amp; Conversion</t>
  </si>
  <si>
    <t>Drinks/Cellar : Tracking &amp; Data Catégorielle</t>
  </si>
  <si>
    <t>Découverte &amp; Inspiration Événements</t>
  </si>
  <si>
    <t>Accès à la catégorie Event</t>
  </si>
  <si>
    <t>En tant qu’utilisateur, je veux accéder à la section Events afin de découvrir concerts, festivals et soirées.</t>
  </si>
  <si>
    <t>Accès à la liste des événements</t>
  </si>
  <si>
    <r>
      <rPr>
        <b/>
        <sz val="11"/>
        <color theme="1"/>
        <rFont val="Calibri"/>
        <family val="2"/>
        <scheme val="minor"/>
      </rPr>
      <t>En tant qu’utilisateur</t>
    </r>
    <r>
      <rPr>
        <sz val="11"/>
        <color theme="1"/>
        <rFont val="Calibri"/>
        <family val="2"/>
        <scheme val="minor"/>
      </rPr>
      <t>, je veux voir à une liste d’événements afin de découvrir ce qui se passe autour de moi. L'affichage se fait selon deux rubriques : 'populaire autour de vous" et "tous les évènements"</t>
    </r>
  </si>
  <si>
    <t>Recherche d'évènement</t>
  </si>
  <si>
    <t>En tant qu'utilisateur, je dois pouvoir chercher un évènement dans la barre de recherche, par nom, ou une partie du nom</t>
  </si>
  <si>
    <t>Affichage des cartes événements</t>
  </si>
  <si>
    <r>
      <rPr>
        <b/>
        <sz val="11"/>
        <color theme="1"/>
        <rFont val="Calibri"/>
        <family val="2"/>
        <scheme val="minor"/>
      </rPr>
      <t>En tant qu’utilisateur</t>
    </r>
    <r>
      <rPr>
        <sz val="11"/>
        <color theme="1"/>
        <rFont val="Calibri"/>
        <family val="2"/>
        <scheme val="minor"/>
      </rPr>
      <t>, je veux voir chaque événement avec type, prix, distance, date et heure afin de décider rapidement si cela m’intéresse.</t>
    </r>
  </si>
  <si>
    <t>Catégories d’événements</t>
  </si>
  <si>
    <r>
      <rPr>
        <b/>
        <sz val="11"/>
        <color theme="1"/>
        <rFont val="Calibri"/>
        <family val="2"/>
        <scheme val="minor"/>
      </rPr>
      <t>En tant qu’utilisateur</t>
    </r>
    <r>
      <rPr>
        <sz val="11"/>
        <color theme="1"/>
        <rFont val="Calibri"/>
        <family val="2"/>
        <scheme val="minor"/>
      </rPr>
      <t>, je veux filtrer par catégorie (concerts, festivals, workshops, etc.) afin de trouver des événements adaptés à mes intérêts.</t>
    </r>
  </si>
  <si>
    <t>Filtres avancés (prix, note, distance, c ...)</t>
  </si>
  <si>
    <t>Calendrier des évènements</t>
  </si>
  <si>
    <t xml:space="preserve">En tant qu'utilisateur, je dois pouvoir visualiser les evenement de manièere trié du plus récent au plus ancien, avec mention de la date de chaque évnèement ainsi que son staut (terminé, en cours, à venir) </t>
  </si>
  <si>
    <t>Mise en avant des événements sponsorisés</t>
  </si>
  <si>
    <r>
      <rPr>
        <b/>
        <sz val="11"/>
        <color theme="1"/>
        <rFont val="Calibri"/>
        <family val="2"/>
        <scheme val="minor"/>
      </rPr>
      <t>En tant que produit</t>
    </r>
    <r>
      <rPr>
        <sz val="11"/>
        <color theme="1"/>
        <rFont val="Calibri"/>
        <family val="2"/>
        <scheme val="minor"/>
      </rPr>
      <t>, je veux mettre en avant certains événements afin de valoriser les partenariats commerciaux.</t>
    </r>
  </si>
  <si>
    <t xml:space="preserve">Sauvegarde d’un évènement en favoris </t>
  </si>
  <si>
    <r>
      <rPr>
        <b/>
        <sz val="11"/>
        <color theme="1"/>
        <rFont val="Calibri"/>
        <family val="2"/>
        <scheme val="minor"/>
      </rPr>
      <t>En tant qu’utilisateur</t>
    </r>
    <r>
      <rPr>
        <sz val="11"/>
        <color theme="1"/>
        <rFont val="Calibri"/>
        <family val="2"/>
        <scheme val="minor"/>
      </rPr>
      <t>, je veux ajouter un évènement à mes favoris afin de le retrouver facilement plus tard.</t>
    </r>
  </si>
  <si>
    <t>US13</t>
  </si>
  <si>
    <t>Sauvegarde d’un évènement en whislist</t>
  </si>
  <si>
    <r>
      <rPr>
        <b/>
        <sz val="11"/>
        <color theme="1"/>
        <rFont val="Calibri"/>
        <family val="2"/>
        <scheme val="minor"/>
      </rPr>
      <t>En tant qu’utilisateur</t>
    </r>
    <r>
      <rPr>
        <sz val="11"/>
        <color theme="1"/>
        <rFont val="Calibri"/>
        <family val="2"/>
        <scheme val="minor"/>
      </rPr>
      <t>, je veux ajouter un évènement à ma  liste de souhait afin de le retrouver facilement plus tard.</t>
    </r>
  </si>
  <si>
    <t>Event Details &amp; Actions</t>
  </si>
  <si>
    <t xml:space="preserve">Event details </t>
  </si>
  <si>
    <t>En tant qu'utilisateur, je dois pouvoir visualiser le détails relatif à chaque év-nement de la  liste affichée en cliquant sur lel bouton "Voir détails"; ou sur le titre de lévènement.  L'ecran détails doit comprendre  le nom de leven-enemt, la description, la date, le lieu, le prix, le dress code, ... en plus des actions rapides : partager, lien vers l'etablissement (Venue dteail) et les boutons Interessé / Acheter Ticket</t>
  </si>
  <si>
    <t>Share Events</t>
  </si>
  <si>
    <t>En tant qu'utilisateur, je dois pouvoir partager l'évènement</t>
  </si>
  <si>
    <t>Liens vers venue Detail</t>
  </si>
  <si>
    <t>En tant qu'utilisateur je dois pouvoir visualiser les informations et le detail de l'etablissement acceuillant l'event</t>
  </si>
  <si>
    <t>Accès au bouton “Get Tickets”</t>
  </si>
  <si>
    <r>
      <rPr>
        <b/>
        <sz val="11"/>
        <color theme="1"/>
        <rFont val="Calibri"/>
        <family val="2"/>
        <scheme val="minor"/>
      </rPr>
      <t>En tant qu’utilisateur</t>
    </r>
    <r>
      <rPr>
        <sz val="11"/>
        <color theme="1"/>
        <rFont val="Calibri"/>
        <family val="2"/>
        <scheme val="minor"/>
      </rPr>
      <t>, je veux accéder à un bouton “Get Tickets” afin d’acheter ou réserver un billet facilement.</t>
    </r>
  </si>
  <si>
    <t>Billetterie &amp; Réservations Événements</t>
  </si>
  <si>
    <t>Reservation events - choix Tier</t>
  </si>
  <si>
    <r>
      <rPr>
        <b/>
        <sz val="11"/>
        <color theme="1"/>
        <rFont val="Calibri"/>
        <family val="2"/>
        <scheme val="minor"/>
      </rPr>
      <t>En tant qu’utilisateur</t>
    </r>
    <r>
      <rPr>
        <sz val="11"/>
        <color theme="1"/>
        <rFont val="Calibri"/>
        <family val="2"/>
        <scheme val="minor"/>
      </rPr>
      <t>, je dois pouvoir choisir entre VIP, Standard, Early Bird</t>
    </r>
  </si>
  <si>
    <t>Sélection du nombre de billets</t>
  </si>
  <si>
    <r>
      <rPr>
        <b/>
        <sz val="11"/>
        <color theme="1"/>
        <rFont val="Calibri"/>
        <family val="2"/>
        <scheme val="minor"/>
      </rPr>
      <t>En tant qu’utilisateur</t>
    </r>
    <r>
      <rPr>
        <sz val="11"/>
        <color theme="1"/>
        <rFont val="Calibri"/>
        <family val="2"/>
        <scheme val="minor"/>
      </rPr>
      <t>, je veux sélectionner le nombre de billets afin de réserver pour moi ou en groupe.</t>
    </r>
  </si>
  <si>
    <t>Recapitulatif de la reservation</t>
  </si>
  <si>
    <r>
      <rPr>
        <b/>
        <sz val="11"/>
        <color theme="1"/>
        <rFont val="Calibri"/>
        <family val="2"/>
        <scheme val="minor"/>
      </rPr>
      <t>En tant qu’utilisateur</t>
    </r>
    <r>
      <rPr>
        <sz val="11"/>
        <color theme="1"/>
        <rFont val="Calibri"/>
        <family val="2"/>
        <scheme val="minor"/>
      </rPr>
      <t>, je dois visualiser le recapitulatif de ma reservation et le prix total à payer avant de confirmer la reservation</t>
    </r>
  </si>
  <si>
    <t>Code promo</t>
  </si>
  <si>
    <r>
      <rPr>
        <b/>
        <sz val="11"/>
        <color theme="1"/>
        <rFont val="Calibri"/>
        <family val="2"/>
        <scheme val="minor"/>
      </rPr>
      <t>En tant qu’utilisateur</t>
    </r>
    <r>
      <rPr>
        <sz val="11"/>
        <color theme="1"/>
        <rFont val="Calibri"/>
        <family val="2"/>
        <scheme val="minor"/>
      </rPr>
      <t>, je dois pouvoir utiliser des codes promo avant de confirmer ma reservation</t>
    </r>
  </si>
  <si>
    <t>Paiement via Payzone</t>
  </si>
  <si>
    <r>
      <rPr>
        <b/>
        <sz val="11"/>
        <color theme="1"/>
        <rFont val="Calibri"/>
        <family val="2"/>
        <scheme val="minor"/>
      </rPr>
      <t>En tant qu’utilisateur</t>
    </r>
    <r>
      <rPr>
        <sz val="11"/>
        <color theme="1"/>
        <rFont val="Calibri"/>
        <family val="2"/>
        <scheme val="minor"/>
      </rPr>
      <t>, je veux payer via PayZone afin de finaliser mon achat en toute confiance.</t>
    </r>
  </si>
  <si>
    <t>Confirmation du paiment</t>
  </si>
  <si>
    <r>
      <rPr>
        <b/>
        <sz val="11"/>
        <color theme="1"/>
        <rFont val="Calibri"/>
        <family val="2"/>
        <scheme val="minor"/>
      </rPr>
      <t>En tant qu’utilisateur</t>
    </r>
    <r>
      <rPr>
        <sz val="11"/>
        <color theme="1"/>
        <rFont val="Calibri"/>
        <family val="2"/>
        <scheme val="minor"/>
      </rPr>
      <t xml:space="preserve">, je dois avoir une confirmation que le paiment s'est bien effectué et que ma reservation est bien confirmée ; en plus du code QR et des 100 points de fidélité - la confirmation du paiment doit me permettre de voir ma reservation via le bouton "Voir reservation" </t>
    </r>
  </si>
  <si>
    <t>RSVP pour événements gratuits 0dh</t>
  </si>
  <si>
    <r>
      <rPr>
        <b/>
        <sz val="11"/>
        <color theme="1"/>
        <rFont val="Calibri"/>
        <family val="2"/>
        <scheme val="minor"/>
      </rPr>
      <t>En tant qu’utilisateur</t>
    </r>
    <r>
      <rPr>
        <sz val="11"/>
        <color theme="1"/>
        <rFont val="Calibri"/>
        <family val="2"/>
        <scheme val="minor"/>
      </rPr>
      <t>, je veux confirmer ma présence à un événement gratuit afin d’être comptabilisé par l’organisateur.</t>
    </r>
  </si>
  <si>
    <t>Check-in via QR Code</t>
  </si>
  <si>
    <r>
      <rPr>
        <b/>
        <sz val="11"/>
        <color theme="1"/>
        <rFont val="Calibri"/>
        <family val="2"/>
        <scheme val="minor"/>
      </rPr>
      <t>En tant qu’organisateur</t>
    </r>
    <r>
      <rPr>
        <sz val="11"/>
        <color theme="1"/>
        <rFont val="Calibri"/>
        <family val="2"/>
        <scheme val="minor"/>
      </rPr>
      <t>, je veux scanner les QR codes afin de mesurer la présence réelle le jour de l’événement.</t>
    </r>
  </si>
  <si>
    <t>Hub Réservations &amp; Navigation</t>
  </si>
  <si>
    <t>Accès à “My Bookings” depuis la navigation principale</t>
  </si>
  <si>
    <r>
      <rPr>
        <b/>
        <sz val="11"/>
        <color theme="1"/>
        <rFont val="Calibri"/>
        <family val="2"/>
        <scheme val="minor"/>
      </rPr>
      <t>En tant qu’utilisateur</t>
    </r>
    <r>
      <rPr>
        <sz val="11"/>
        <color theme="1"/>
        <rFont val="Calibri"/>
        <family val="2"/>
        <scheme val="minor"/>
      </rPr>
      <t>, je veux accéder à mes réservations depuis la barre de navigation afin de retrouver rapidement mes engagements.</t>
    </r>
  </si>
  <si>
    <t>Onglets Active / Past</t>
  </si>
  <si>
    <r>
      <rPr>
        <b/>
        <sz val="11"/>
        <color theme="1"/>
        <rFont val="Calibri"/>
        <family val="2"/>
        <scheme val="minor"/>
      </rPr>
      <t>En tant qu’utilisateur</t>
    </r>
    <r>
      <rPr>
        <sz val="11"/>
        <color theme="1"/>
        <rFont val="Calibri"/>
        <family val="2"/>
        <scheme val="minor"/>
      </rPr>
      <t>, je veux distinguer mes réservations actives et passées afin de mieux m’organiser.</t>
    </r>
  </si>
  <si>
    <t xml:space="preserve">Listing Reservation passées, </t>
  </si>
  <si>
    <r>
      <rPr>
        <b/>
        <sz val="11"/>
        <color theme="1"/>
        <rFont val="Calibri"/>
        <family val="2"/>
        <scheme val="minor"/>
      </rPr>
      <t>En tant qu’utilisateur</t>
    </r>
    <r>
      <rPr>
        <sz val="11"/>
        <color theme="1"/>
        <rFont val="Calibri"/>
        <family val="2"/>
        <scheme val="minor"/>
      </rPr>
      <t>, je veux pouvoir visualiser la liste de mes reservations passées avec distinction entre terminée, annulées, No-Show</t>
    </r>
  </si>
  <si>
    <t xml:space="preserve">Evaluation experience - Listing Reservation passées, </t>
  </si>
  <si>
    <r>
      <rPr>
        <b/>
        <sz val="11"/>
        <color theme="1"/>
        <rFont val="Calibri"/>
        <family val="2"/>
        <scheme val="minor"/>
      </rPr>
      <t xml:space="preserve">En tant qu'utilisateur, </t>
    </r>
    <r>
      <rPr>
        <sz val="11"/>
        <color theme="1"/>
        <rFont val="Calibri"/>
        <family val="2"/>
        <scheme val="minor"/>
      </rPr>
      <t xml:space="preserve">je dois pouvoir évaluer mon expérience à travers le bouton 'Noter l'expérience'. Le bouton doit etre activé uniquement pour les expérience pas encore noté. - je dois également pouvoir voir les note si déja attribué via le bouton voir note. </t>
    </r>
  </si>
  <si>
    <t>Listing Reservation actives</t>
  </si>
  <si>
    <t xml:space="preserve">En tant qu'utilisateur, je dois pouvoir visualiser la liste de mes reservations en cours (en attente et confirmée) </t>
  </si>
  <si>
    <t>Annulation - Listing Reservation actives</t>
  </si>
  <si>
    <t>En tant qu'utilisateur, je dois pouvoir anuler mes reservation active via le boutton annuler (associé à chaque reservation)</t>
  </si>
  <si>
    <t>Gestion &amp; Actions sur Réservations</t>
  </si>
  <si>
    <t xml:space="preserve">Carte de réservation standardisée - Reservation Detail </t>
  </si>
  <si>
    <r>
      <rPr>
        <b/>
        <sz val="11"/>
        <color theme="1"/>
        <rFont val="Calibri"/>
        <family val="2"/>
        <scheme val="minor"/>
      </rPr>
      <t>En tant qu’utilisateur</t>
    </r>
    <r>
      <rPr>
        <sz val="11"/>
        <color theme="1"/>
        <rFont val="Calibri"/>
        <family val="2"/>
        <scheme val="minor"/>
      </rPr>
      <t xml:space="preserve">, je veux voir des cartes claires pour chaque réservation afin de comprendre rapidement les informations clés (Lieu/Evènement, date,  adresse, taille du groupe) + Pastille statut, </t>
    </r>
  </si>
  <si>
    <t xml:space="preserve">Actions rapides - Reservation detail </t>
  </si>
  <si>
    <r>
      <rPr>
        <b/>
        <sz val="11"/>
        <color theme="1"/>
        <rFont val="Calibri"/>
        <family val="2"/>
        <scheme val="minor"/>
      </rPr>
      <t>En tant qu’utilisateur</t>
    </r>
    <r>
      <rPr>
        <sz val="11"/>
        <color theme="1"/>
        <rFont val="Calibri"/>
        <family val="2"/>
        <scheme val="minor"/>
      </rPr>
      <t>, je veux accéder à des actions rapides afin de gérer ma réservation sans friction : + Actions rapides : direction, appeler le lieu, ajouter au calendrier, partager + Modifier ou annuler</t>
    </r>
  </si>
  <si>
    <t>Ajouter au calendrier</t>
  </si>
  <si>
    <r>
      <rPr>
        <b/>
        <sz val="11"/>
        <color theme="1"/>
        <rFont val="Calibri"/>
        <family val="2"/>
        <scheme val="minor"/>
      </rPr>
      <t>En tant qu’utilisateur</t>
    </r>
    <r>
      <rPr>
        <sz val="11"/>
        <color theme="1"/>
        <rFont val="Calibri"/>
        <family val="2"/>
        <scheme val="minor"/>
      </rPr>
      <t>, je veux ajouter ma réservation à mon calendrier afin de ne pas l’oublier.</t>
    </r>
  </si>
  <si>
    <t>Appeler l'etablissement</t>
  </si>
  <si>
    <r>
      <rPr>
        <b/>
        <sz val="11"/>
        <color theme="1"/>
        <rFont val="Calibri"/>
        <family val="2"/>
        <scheme val="minor"/>
      </rPr>
      <t>En tant qu’utilisateur</t>
    </r>
    <r>
      <rPr>
        <sz val="11"/>
        <color theme="1"/>
        <rFont val="Calibri"/>
        <family val="2"/>
        <scheme val="minor"/>
      </rPr>
      <t xml:space="preserve">, je dois pouvoir récupérer le numéro de l'etablissement et l'appeler </t>
    </r>
  </si>
  <si>
    <t>Directions</t>
  </si>
  <si>
    <r>
      <rPr>
        <b/>
        <sz val="11"/>
        <color theme="1"/>
        <rFont val="Calibri"/>
        <family val="2"/>
        <scheme val="minor"/>
      </rPr>
      <t>En tant qu’utilisateur</t>
    </r>
    <r>
      <rPr>
        <sz val="11"/>
        <color theme="1"/>
        <rFont val="Calibri"/>
        <family val="2"/>
        <scheme val="minor"/>
      </rPr>
      <t>, je dois pouvoir obtenir les directions pour arriver à destination (l'etablissement)</t>
    </r>
  </si>
  <si>
    <t>Partager la reservation via whatsapp</t>
  </si>
  <si>
    <r>
      <t>En tant qu’utilisateur</t>
    </r>
    <r>
      <rPr>
        <sz val="11"/>
        <color theme="1"/>
        <rFont val="Calibri"/>
        <family val="2"/>
        <scheme val="minor"/>
      </rPr>
      <t xml:space="preserve">, je dois pouvoir obtenir partager ma reservation avec d'autres personnes </t>
    </r>
  </si>
  <si>
    <t>US06bis</t>
  </si>
  <si>
    <t>Partager la reservation</t>
  </si>
  <si>
    <t>Modifier une réservation</t>
  </si>
  <si>
    <r>
      <rPr>
        <b/>
        <sz val="11"/>
        <color theme="1"/>
        <rFont val="Calibri"/>
        <family val="2"/>
        <scheme val="minor"/>
      </rPr>
      <t>En tant qu’utilisateur</t>
    </r>
    <r>
      <rPr>
        <sz val="11"/>
        <color theme="1"/>
        <rFont val="Calibri"/>
        <family val="2"/>
        <scheme val="minor"/>
      </rPr>
      <t>, je veux modifier ma réservation afin d’adapter mes plans.</t>
    </r>
  </si>
  <si>
    <t>Annuler une réservation</t>
  </si>
  <si>
    <r>
      <rPr>
        <b/>
        <sz val="11"/>
        <color theme="1"/>
        <rFont val="Calibri"/>
        <family val="2"/>
        <scheme val="minor"/>
      </rPr>
      <t>En tant qu’utilisateur</t>
    </r>
    <r>
      <rPr>
        <sz val="11"/>
        <color theme="1"/>
        <rFont val="Calibri"/>
        <family val="2"/>
        <scheme val="minor"/>
      </rPr>
      <t>, je veux pouvoir annuler ma reservation à partir de l'ecran détail de la reservation</t>
    </r>
  </si>
  <si>
    <t>QR CODE</t>
  </si>
  <si>
    <t xml:space="preserve">En tant qu'utilisateur, je dois pouvoir visualiser le Code QR correspondant à ma reservation, je dois également pouvoir utiliser ce Code QR pour check In aupr-s de l'etablissement de reservation 
</t>
  </si>
  <si>
    <t>Notification &amp; Confirmation Reservation</t>
  </si>
  <si>
    <t xml:space="preserve">En tant qu'utilisateur, je dois recevoir une notification confirmant la mise à jour de ma reservation, 
</t>
  </si>
  <si>
    <t>Notification Post reservation / Push “Comment c’était ?” post-créneau</t>
  </si>
  <si>
    <r>
      <rPr>
        <b/>
        <sz val="11"/>
        <color theme="1"/>
        <rFont val="Calibri"/>
        <family val="2"/>
        <scheme val="minor"/>
      </rPr>
      <t>En tant qu’utilisateur</t>
    </r>
    <r>
      <rPr>
        <sz val="11"/>
        <color theme="1"/>
        <rFont val="Calibri"/>
        <family val="2"/>
        <scheme val="minor"/>
      </rPr>
      <t>, je veux recevoir une notification après ma réservation afin de donner mon avis. -1 à 2H après créneau de reservation)</t>
    </r>
  </si>
  <si>
    <t>noter la reservation</t>
  </si>
  <si>
    <r>
      <rPr>
        <b/>
        <sz val="11"/>
        <color theme="1"/>
        <rFont val="Calibri"/>
        <family val="2"/>
        <scheme val="minor"/>
      </rPr>
      <t>En tant qu’utilisateur</t>
    </r>
    <r>
      <rPr>
        <sz val="11"/>
        <color theme="1"/>
        <rFont val="Calibri"/>
        <family val="2"/>
        <scheme val="minor"/>
      </rPr>
      <t>, je veux rpouvoir noter un lieu reservé, après la reservation et après l'avoir testé, via le bouton "Noter maintenant sur l'ecran détail de reservation"</t>
    </r>
  </si>
  <si>
    <t>Feed Social &amp; Engagement</t>
  </si>
  <si>
    <t>Affichage du feed principal</t>
  </si>
  <si>
    <r>
      <rPr>
        <b/>
        <sz val="11"/>
        <color theme="1"/>
        <rFont val="Calibri"/>
        <family val="2"/>
        <scheme val="minor"/>
      </rPr>
      <t>En tant qu’utilisateur</t>
    </r>
    <r>
      <rPr>
        <sz val="11"/>
        <color theme="1"/>
        <rFont val="Calibri"/>
        <family val="2"/>
        <scheme val="minor"/>
      </rPr>
      <t>, je veux voir un feed principal dès mon arrivée afin de découvrir des recommandations, expériences et contenus partagés par la communauté LYFE, et pouvoir scroller de mannière infinie; à partir du home tab</t>
    </r>
  </si>
  <si>
    <t>Onglets Feed / List / Leaderboard</t>
  </si>
  <si>
    <r>
      <rPr>
        <b/>
        <sz val="11"/>
        <color theme="1"/>
        <rFont val="Calibri"/>
        <family val="2"/>
        <scheme val="minor"/>
      </rPr>
      <t>En tant qu’utilisateur</t>
    </r>
    <r>
      <rPr>
        <sz val="11"/>
        <color theme="1"/>
        <rFont val="Calibri"/>
        <family val="2"/>
        <scheme val="minor"/>
      </rPr>
      <t xml:space="preserve">, je dois pouvoir visualiser un écran avec 3 onglets Feed/ List /Leaderboard  et pouvoir naviguer entre les onglets </t>
    </r>
  </si>
  <si>
    <t>Navigation cohérente Feed ↔ Fiche</t>
  </si>
  <si>
    <r>
      <rPr>
        <b/>
        <sz val="11"/>
        <color theme="1"/>
        <rFont val="Calibri"/>
        <family val="2"/>
        <scheme val="minor"/>
      </rPr>
      <t>En tant qu’utilisateur</t>
    </r>
    <r>
      <rPr>
        <sz val="11"/>
        <color theme="1"/>
        <rFont val="Calibri"/>
        <family val="2"/>
        <scheme val="minor"/>
      </rPr>
      <t>, je veux naviguer entre le feed et les fiches sans perdre le contexte et l'état du feed initial afin de garder une expérience fluide.</t>
    </r>
  </si>
  <si>
    <t>Interactions avec les posts</t>
  </si>
  <si>
    <r>
      <rPr>
        <b/>
        <sz val="11"/>
        <color theme="1"/>
        <rFont val="Calibri"/>
        <family val="2"/>
        <scheme val="minor"/>
      </rPr>
      <t>En tant qu’utilisateur</t>
    </r>
    <r>
      <rPr>
        <sz val="11"/>
        <color theme="1"/>
        <rFont val="Calibri"/>
        <family val="2"/>
        <scheme val="minor"/>
      </rPr>
      <t xml:space="preserve">, je veux voir des posts détaillés (auteur, lieu, prix, texte) afin d'avoir une idée sur l'expérience partagée, je dois aussi pouvoir liker, unliker, commenter et partager ces posts
je dois également pouvoir les sauvegarder les lieux partagés pour une utilisation ultérieur. 
je dois aussi pouvoir accéder au profil de l'auteur du post </t>
    </r>
  </si>
  <si>
    <t>Creation des posts</t>
  </si>
  <si>
    <r>
      <rPr>
        <b/>
        <sz val="11"/>
        <color theme="1"/>
        <rFont val="Calibri"/>
        <family val="2"/>
        <scheme val="minor"/>
      </rPr>
      <t xml:space="preserve">En tant qu'utilisateur </t>
    </r>
    <r>
      <rPr>
        <sz val="11"/>
        <color theme="1"/>
        <rFont val="Calibri"/>
        <family val="2"/>
        <scheme val="minor"/>
      </rPr>
      <t>je dois pouvoir créer des posts avec des photos / Vidéos, en taguant le lieu et en ajoutant un texte et un emoji</t>
    </r>
  </si>
  <si>
    <t xml:space="preserve">Stories &amp; contenus courts - Visualisation </t>
  </si>
  <si>
    <r>
      <rPr>
        <b/>
        <sz val="11"/>
        <color theme="1"/>
        <rFont val="Calibri"/>
        <family val="2"/>
        <scheme val="minor"/>
      </rPr>
      <t>En tant qu’utilisateur</t>
    </r>
    <r>
      <rPr>
        <sz val="11"/>
        <color theme="1"/>
        <rFont val="Calibri"/>
        <family val="2"/>
        <scheme val="minor"/>
      </rPr>
      <t>, je veux consulter des stories afin de découvrir rapidement des lieux et expériences populaires</t>
    </r>
  </si>
  <si>
    <t xml:space="preserve">Stories &amp; contenus courts - Creation </t>
  </si>
  <si>
    <r>
      <rPr>
        <b/>
        <sz val="11"/>
        <color theme="1"/>
        <rFont val="Calibri"/>
        <family val="2"/>
        <scheme val="minor"/>
      </rPr>
      <t>En tant qu’utilisateur</t>
    </r>
    <r>
      <rPr>
        <sz val="11"/>
        <color theme="1"/>
        <rFont val="Calibri"/>
        <family val="2"/>
        <scheme val="minor"/>
      </rPr>
      <t>, je veux créer des stories afet les partager - la story doit rester visible pendant 24h avant de pouvoir l'archiver</t>
    </r>
  </si>
  <si>
    <t>Your List - Affichage</t>
  </si>
  <si>
    <t>en tant qu'utilisateur , je dois pouvoir visualiser les liste des lieux visités sauvegardés, ou en wishlist</t>
  </si>
  <si>
    <t>Your List - Management</t>
  </si>
  <si>
    <t>En tant qu'utilisateur, je dois pouvoir ajouter, supprimer un lieu de la liste / Partager ma liste / Filtrer et trer ma liste</t>
  </si>
  <si>
    <t>Leaderboard utilisateurs - affichage principal</t>
  </si>
  <si>
    <r>
      <rPr>
        <b/>
        <sz val="11"/>
        <color theme="1"/>
        <rFont val="Calibri"/>
        <family val="2"/>
        <scheme val="minor"/>
      </rPr>
      <t>En tant qu’utilisateur</t>
    </r>
    <r>
      <rPr>
        <sz val="11"/>
        <color theme="1"/>
        <rFont val="Calibri"/>
        <family val="2"/>
        <scheme val="minor"/>
      </rPr>
      <t xml:space="preserve">, je veux voir un classement des membres les plus actifs afin d’identifier les profils influents et être incité à interagir davantage. Le classement se fait sur la base des lieux visités, reviews etablis, 
L'écran doit pouvoir afficher la liste des invitations d'ajout reçues </t>
    </r>
  </si>
  <si>
    <t>Leaderboard utilisateurs - Consultation/Ajout utilisateur</t>
  </si>
  <si>
    <r>
      <rPr>
        <b/>
        <sz val="11"/>
        <color theme="1"/>
        <rFont val="Calibri"/>
        <family val="2"/>
        <scheme val="minor"/>
      </rPr>
      <t>En tant qu’utilisateur</t>
    </r>
    <r>
      <rPr>
        <sz val="11"/>
        <color theme="1"/>
        <rFont val="Calibri"/>
        <family val="2"/>
        <scheme val="minor"/>
      </rPr>
      <t xml:space="preserve">, je dois pouvoir voir les profils des utilisateurs affichés dans le leaderboard, et je dois pouvoir les ajouter à ma liste d'amis </t>
    </r>
  </si>
  <si>
    <t>Leaderboard utilisateurs - Invitation/Acceptation des invitation</t>
  </si>
  <si>
    <r>
      <rPr>
        <b/>
        <sz val="11"/>
        <color theme="1"/>
        <rFont val="Calibri"/>
        <family val="2"/>
        <scheme val="minor"/>
      </rPr>
      <t>En tant qu’utilisateur</t>
    </r>
    <r>
      <rPr>
        <sz val="11"/>
        <color theme="1"/>
        <rFont val="Calibri"/>
        <family val="2"/>
        <scheme val="minor"/>
      </rPr>
      <t>, je dois pouvoir voir la liste des demandes d'ajout reçues et pouvoir les accepter / Refuser</t>
    </r>
  </si>
  <si>
    <t>Accès au detail du feed</t>
  </si>
  <si>
    <r>
      <rPr>
        <b/>
        <sz val="11"/>
        <color theme="1"/>
        <rFont val="Calibri"/>
        <family val="2"/>
        <scheme val="minor"/>
      </rPr>
      <t>En tant qu’utilisateur</t>
    </r>
    <r>
      <rPr>
        <sz val="11"/>
        <color theme="1"/>
        <rFont val="Calibri"/>
        <family val="2"/>
        <scheme val="minor"/>
      </rPr>
      <t xml:space="preserve">, je veux voir accéder au détail des établissement recommandés -- ceci renvoie voir Restaurant Detail ou Venue Detail </t>
    </r>
  </si>
  <si>
    <t>Tracking &amp; Données Comportementales Avancées</t>
  </si>
  <si>
    <t>Tracking clics</t>
  </si>
  <si>
    <r>
      <rPr>
        <b/>
        <sz val="11"/>
        <color theme="1"/>
        <rFont val="Calibri"/>
        <family val="2"/>
        <scheme val="minor"/>
      </rPr>
      <t>En tant que produit</t>
    </r>
    <r>
      <rPr>
        <sz val="11"/>
        <color theme="1"/>
        <rFont val="Calibri"/>
        <family val="2"/>
        <scheme val="minor"/>
      </rPr>
      <t>, je veux mesurer les clics sur les restaurants et contenus afin d’identifier ce qui génère de l’intérêt.</t>
    </r>
  </si>
  <si>
    <t>Tracking scroll &amp; session</t>
  </si>
  <si>
    <r>
      <rPr>
        <b/>
        <sz val="11"/>
        <color theme="1"/>
        <rFont val="Calibri"/>
        <family val="2"/>
        <scheme val="minor"/>
      </rPr>
      <t>En tant que produit</t>
    </r>
    <r>
      <rPr>
        <sz val="11"/>
        <color theme="1"/>
        <rFont val="Calibri"/>
        <family val="2"/>
        <scheme val="minor"/>
      </rPr>
      <t>, je veux mesurer la durée de session et la profondeur de scroll afin d’évaluer la qualité du feed.</t>
    </r>
  </si>
  <si>
    <t>Tracking filtres &amp; tris</t>
  </si>
  <si>
    <r>
      <rPr>
        <b/>
        <sz val="11"/>
        <color theme="1"/>
        <rFont val="Calibri"/>
        <family val="2"/>
        <scheme val="minor"/>
      </rPr>
      <t>En tant que produit</t>
    </r>
    <r>
      <rPr>
        <sz val="11"/>
        <color theme="1"/>
        <rFont val="Calibri"/>
        <family val="2"/>
        <scheme val="minor"/>
      </rPr>
      <t>, je veux enregistrer les filtres et préférences de tri afin d’améliorer la personnalisation et le ranking.</t>
    </r>
  </si>
  <si>
    <t xml:space="preserve">Tracking recherches </t>
  </si>
  <si>
    <r>
      <rPr>
        <b/>
        <sz val="11"/>
        <color theme="1"/>
        <rFont val="Calibri"/>
        <family val="2"/>
        <scheme val="minor"/>
      </rPr>
      <t>En tant que produit</t>
    </r>
    <r>
      <rPr>
        <sz val="11"/>
        <color theme="1"/>
        <rFont val="Calibri"/>
        <family val="2"/>
        <scheme val="minor"/>
      </rPr>
      <t xml:space="preserve">, je veux enregistrer les termes de recherche </t>
    </r>
  </si>
  <si>
    <t>Tracking Like/Favoris/Reservations</t>
  </si>
  <si>
    <r>
      <rPr>
        <b/>
        <sz val="11"/>
        <color theme="1"/>
        <rFont val="Calibri"/>
        <family val="2"/>
        <scheme val="minor"/>
      </rPr>
      <t>En tant que produit</t>
    </r>
    <r>
      <rPr>
        <sz val="11"/>
        <color theme="1"/>
        <rFont val="Calibri"/>
        <family val="2"/>
        <scheme val="minor"/>
      </rPr>
      <t>, je veux mesurer les interactions avec les éléments du feed</t>
    </r>
  </si>
  <si>
    <t>Tracking Vue des stories</t>
  </si>
  <si>
    <r>
      <rPr>
        <b/>
        <sz val="11"/>
        <color theme="1"/>
        <rFont val="Calibri"/>
        <family val="2"/>
        <scheme val="minor"/>
      </rPr>
      <t>En tant que produit</t>
    </r>
    <r>
      <rPr>
        <sz val="11"/>
        <color theme="1"/>
        <rFont val="Calibri"/>
        <family val="2"/>
        <scheme val="minor"/>
      </rPr>
      <t>, je veux mesurer les vue sur les stories</t>
    </r>
  </si>
  <si>
    <t>Tracking partages</t>
  </si>
  <si>
    <r>
      <rPr>
        <b/>
        <sz val="11"/>
        <color theme="1"/>
        <rFont val="Calibri"/>
        <family val="2"/>
        <scheme val="minor"/>
      </rPr>
      <t>En tant que produit</t>
    </r>
    <r>
      <rPr>
        <sz val="11"/>
        <color theme="1"/>
        <rFont val="Calibri"/>
        <family val="2"/>
        <scheme val="minor"/>
      </rPr>
      <t>, je veux suivre les partages et leur origine afin de mesurer la viralité et l’acquisition indirecte.</t>
    </r>
  </si>
  <si>
    <t>Tracking notifications</t>
  </si>
  <si>
    <r>
      <rPr>
        <b/>
        <sz val="11"/>
        <color theme="1"/>
        <rFont val="Calibri"/>
        <family val="2"/>
        <scheme val="minor"/>
      </rPr>
      <t>En tant que produit</t>
    </r>
    <r>
      <rPr>
        <sz val="11"/>
        <color theme="1"/>
        <rFont val="Calibri"/>
        <family val="2"/>
        <scheme val="minor"/>
      </rPr>
      <t>, je veux mesurer les interactions avec les notifications afin d’optimiser les campagnes d’engagement.</t>
    </r>
  </si>
  <si>
    <t>Profil Utilisateur &amp; Identité</t>
  </si>
  <si>
    <t>Affichage du profil utilisateur</t>
  </si>
  <si>
    <r>
      <rPr>
        <b/>
        <sz val="11"/>
        <color theme="1"/>
        <rFont val="Calibri"/>
        <family val="2"/>
        <scheme val="minor"/>
      </rPr>
      <t>En tant qu’utilisateur</t>
    </r>
    <r>
      <rPr>
        <sz val="11"/>
        <color theme="1"/>
        <rFont val="Calibri"/>
        <family val="2"/>
        <scheme val="minor"/>
      </rPr>
      <t xml:space="preserve">, je veux voir mon profil avec mes informations principales afin de vérifier et contrôler mon identité sur LYFE. 
L'accès au profile se fait via le bouton profil de la barre de navigation
Les informations qui doivent s'afficher sont les suivantes : 
 - Photo ou avatar, Nom, Prénom, adresse mail, Badge; Localisation  
 - Préférence culinaires et restrictions alimentaires, 
 - Favoris sauvegardés (Restaurants, Bars, evènements) et le nombre de reservations effectués. 
 - Point de fidélité 
 - Nb de followers/Followés
en plus des boutons 'Modifier le profil" et partager le profil"
je dois également avoir accès au détail de mon compte et pouvoir paramétrer mon compte </t>
    </r>
  </si>
  <si>
    <t>Édition/Modification des informations personnelles</t>
  </si>
  <si>
    <r>
      <rPr>
        <b/>
        <sz val="11"/>
        <color theme="1"/>
        <rFont val="Calibri"/>
        <family val="2"/>
        <scheme val="minor"/>
      </rPr>
      <t>En tant qu’utilisateur</t>
    </r>
    <r>
      <rPr>
        <sz val="11"/>
        <color theme="1"/>
        <rFont val="Calibri"/>
        <family val="2"/>
        <scheme val="minor"/>
      </rPr>
      <t>, je veux modifier mes informations (nom, email, localisation, tranche d’âge, Photo) afin de garder mon profil à jour. 
A l'issue de la modification, je dois recevoir un pop de confirmation de sauvegarde des changements avant de pouvoir revenir sur l'ecran Profile</t>
    </r>
  </si>
  <si>
    <t>Partager mon profil</t>
  </si>
  <si>
    <r>
      <rPr>
        <b/>
        <sz val="11"/>
        <color theme="1"/>
        <rFont val="Calibri"/>
        <family val="2"/>
        <scheme val="minor"/>
      </rPr>
      <t>En tant qu’utilisateur</t>
    </r>
    <r>
      <rPr>
        <sz val="11"/>
        <color theme="1"/>
        <rFont val="Calibri"/>
        <family val="2"/>
        <scheme val="minor"/>
      </rPr>
      <t xml:space="preserve">, je dois pouvoir partager mon profil </t>
    </r>
  </si>
  <si>
    <t>Gestion des préférences culinaires</t>
  </si>
  <si>
    <r>
      <rPr>
        <b/>
        <sz val="11"/>
        <color theme="1"/>
        <rFont val="Calibri"/>
        <family val="2"/>
        <scheme val="minor"/>
      </rPr>
      <t>En tant qu’utilisateur</t>
    </r>
    <r>
      <rPr>
        <sz val="11"/>
        <color theme="1"/>
        <rFont val="Calibri"/>
        <family val="2"/>
        <scheme val="minor"/>
      </rPr>
      <t>, je veux définir mes préférences et restrictions alimentaires afin de recevoir des recommandations adaptées.</t>
    </r>
  </si>
  <si>
    <t>Détails et paramètres du compte</t>
  </si>
  <si>
    <t>En tant qu'utilisateur, je dois pouvoir accéder à l'écran de paramétrage du compte. L'ecran comprend les rubriques suivantes : 
- Compte : 
   -- Mes reservations --le clic renvoie vers l'ecran des reservations
   -- Programme de fidélité --le clic renvoie vers le détail des points et récompenses obtenues 
   -- Favories -- renvoie vers La list de mon feed , liste des lieu sauvegardés
   -- Mes avis -- renvoie vers le listing des avis attribués 
 - Paramètres : 
  -- Notifications -- permet de gérer les notifications et les autorisations 
  -- Mode de paiement ??? 
  -- Aide et support -- Renvoie vers l'ecran d'aide et support
en plus d'une rubrique pour déconnexion</t>
  </si>
  <si>
    <t>Paramètres de confidentialité</t>
  </si>
  <si>
    <r>
      <rPr>
        <b/>
        <sz val="11"/>
        <color theme="1"/>
        <rFont val="Calibri"/>
        <family val="2"/>
        <scheme val="minor"/>
      </rPr>
      <t>En tant qu’utilisateur</t>
    </r>
    <r>
      <rPr>
        <sz val="11"/>
        <color theme="1"/>
        <rFont val="Calibri"/>
        <family val="2"/>
        <scheme val="minor"/>
      </rPr>
      <t>, je veux contrôler la visibilité de mes informations et activités afin de protéger ma vie privée.</t>
    </r>
  </si>
  <si>
    <t>Paramètres de notifications</t>
  </si>
  <si>
    <r>
      <rPr>
        <b/>
        <sz val="11"/>
        <color theme="1"/>
        <rFont val="Calibri"/>
        <family val="2"/>
        <scheme val="minor"/>
      </rPr>
      <t>En tant qu’utilisateur</t>
    </r>
    <r>
      <rPr>
        <sz val="11"/>
        <color theme="1"/>
        <rFont val="Calibri"/>
        <family val="2"/>
        <scheme val="minor"/>
      </rPr>
      <t>, je veux gérer mes notifications afin de recevoir uniquement celles qui m’intéressent.</t>
    </r>
  </si>
  <si>
    <t>Historique restaurants &amp; événements</t>
  </si>
  <si>
    <r>
      <rPr>
        <b/>
        <sz val="11"/>
        <color theme="1"/>
        <rFont val="Calibri"/>
        <family val="2"/>
        <scheme val="minor"/>
      </rPr>
      <t>En tant qu’utilisateur</t>
    </r>
    <r>
      <rPr>
        <sz val="11"/>
        <color theme="1"/>
        <rFont val="Calibri"/>
        <family val="2"/>
        <scheme val="minor"/>
      </rPr>
      <t>, je veux voir les lieux et événements fréquentés afin de suivre mon activité passée.</t>
    </r>
  </si>
  <si>
    <t>Historique des réservations</t>
  </si>
  <si>
    <r>
      <rPr>
        <b/>
        <sz val="11"/>
        <color theme="1"/>
        <rFont val="Calibri"/>
        <family val="2"/>
        <scheme val="minor"/>
      </rPr>
      <t>En tant qu’utilisateur</t>
    </r>
    <r>
      <rPr>
        <sz val="11"/>
        <color theme="1"/>
        <rFont val="Calibri"/>
        <family val="2"/>
        <scheme val="minor"/>
      </rPr>
      <t>, je veux consulter mes réservations (effectuées, annulées, modifiées) afin de gérer mon historique.</t>
    </r>
  </si>
  <si>
    <t>Affichage des avis rédigés</t>
  </si>
  <si>
    <r>
      <rPr>
        <b/>
        <sz val="11"/>
        <color theme="1"/>
        <rFont val="Calibri"/>
        <family val="2"/>
        <scheme val="minor"/>
      </rPr>
      <t>En tant qu’utilisateur</t>
    </r>
    <r>
      <rPr>
        <sz val="11"/>
        <color theme="1"/>
        <rFont val="Calibri"/>
        <family val="2"/>
        <scheme val="minor"/>
      </rPr>
      <t>, je veux voir mes avis et notes afin de mesurer ma contribution à la communauté.</t>
    </r>
  </si>
  <si>
    <t>Favoris &amp; Lieux Sauvegardés</t>
  </si>
  <si>
    <t>Notifications sur lieux favoris</t>
  </si>
  <si>
    <r>
      <rPr>
        <b/>
        <sz val="11"/>
        <color theme="1"/>
        <rFont val="Calibri"/>
        <family val="2"/>
        <scheme val="minor"/>
      </rPr>
      <t>En tant qu’utilisateur</t>
    </r>
    <r>
      <rPr>
        <sz val="11"/>
        <color theme="1"/>
        <rFont val="Calibri"/>
        <family val="2"/>
        <scheme val="minor"/>
      </rPr>
      <t>, je veux recevoir des rappels ou notifications sur mes restaurants/lieux/évènements sauvegardés afin de passer à l’action.</t>
    </r>
  </si>
  <si>
    <t>Priorisation des lieux sauvegardés</t>
  </si>
  <si>
    <r>
      <rPr>
        <b/>
        <sz val="11"/>
        <color theme="1"/>
        <rFont val="Calibri"/>
        <family val="2"/>
        <scheme val="minor"/>
      </rPr>
      <t>En tant qu’utilisateur</t>
    </r>
    <r>
      <rPr>
        <sz val="11"/>
        <color theme="1"/>
        <rFont val="Calibri"/>
        <family val="2"/>
        <scheme val="minor"/>
      </rPr>
      <t>, je veux définir un niveau de priorité sur mes favoris afin d’identifier mes choix préférés.</t>
    </r>
  </si>
  <si>
    <t>Consultation des lieux sauvegardés</t>
  </si>
  <si>
    <r>
      <rPr>
        <b/>
        <sz val="11"/>
        <color theme="1"/>
        <rFont val="Calibri"/>
        <family val="2"/>
        <scheme val="minor"/>
      </rPr>
      <t>En tant qu’utilisateur</t>
    </r>
    <r>
      <rPr>
        <sz val="11"/>
        <color theme="1"/>
        <rFont val="Calibri"/>
        <family val="2"/>
        <scheme val="minor"/>
      </rPr>
      <t>, je veux accéder à la liste de mes favoris afin de comparer et décider plus tard.</t>
    </r>
  </si>
  <si>
    <t>Historique des Lieux Visités</t>
  </si>
  <si>
    <t>Fréquence de visite par lieu</t>
  </si>
  <si>
    <r>
      <rPr>
        <b/>
        <sz val="11"/>
        <color theme="1"/>
        <rFont val="Calibri"/>
        <family val="2"/>
        <scheme val="minor"/>
      </rPr>
      <t>En tant qu’utilisateur</t>
    </r>
    <r>
      <rPr>
        <sz val="11"/>
        <color theme="1"/>
        <rFont val="Calibri"/>
        <family val="2"/>
        <scheme val="minor"/>
      </rPr>
      <t>, je veux voir la fréquence de mes visites afin de comprendre mes habitudes.</t>
    </r>
  </si>
  <si>
    <t>Distinction visites uniques vs répétées</t>
  </si>
  <si>
    <r>
      <rPr>
        <b/>
        <sz val="11"/>
        <color theme="1"/>
        <rFont val="Calibri"/>
        <family val="2"/>
        <scheme val="minor"/>
      </rPr>
      <t>En tant qu’utilisateur</t>
    </r>
    <r>
      <rPr>
        <sz val="11"/>
        <color theme="1"/>
        <rFont val="Calibri"/>
        <family val="2"/>
        <scheme val="minor"/>
      </rPr>
      <t>, je veux identifier mes lieux récurrents afin de reconnaître mes habitudes culinaires.</t>
    </r>
  </si>
  <si>
    <t>Dépenses associées aux visites</t>
  </si>
  <si>
    <r>
      <rPr>
        <b/>
        <sz val="11"/>
        <color theme="1"/>
        <rFont val="Calibri"/>
        <family val="2"/>
        <scheme val="minor"/>
      </rPr>
      <t>En tant qu’utilisateur</t>
    </r>
    <r>
      <rPr>
        <sz val="11"/>
        <color theme="1"/>
        <rFont val="Calibri"/>
        <family val="2"/>
        <scheme val="minor"/>
      </rPr>
      <t>, je veux voir mes dépenses par visite afin de mesurer mon budget restauration.</t>
    </r>
  </si>
  <si>
    <t>Wishlist &amp; Conversion Différée</t>
  </si>
  <si>
    <t>Notifications wishlist</t>
  </si>
  <si>
    <r>
      <rPr>
        <b/>
        <sz val="11"/>
        <color theme="1"/>
        <rFont val="Calibri"/>
        <family val="2"/>
        <scheme val="minor"/>
      </rPr>
      <t>En tant qu’utilisateur</t>
    </r>
    <r>
      <rPr>
        <sz val="11"/>
        <color theme="1"/>
        <rFont val="Calibri"/>
        <family val="2"/>
        <scheme val="minor"/>
      </rPr>
      <t>, je veux recevoir des rappels sur ma wishlist afin de ne pas oublier mes envies.</t>
    </r>
  </si>
  <si>
    <t>Passage wishlist → réservation</t>
  </si>
  <si>
    <r>
      <rPr>
        <b/>
        <sz val="11"/>
        <color theme="1"/>
        <rFont val="Calibri"/>
        <family val="2"/>
        <scheme val="minor"/>
      </rPr>
      <t>En tant qu’utilisateur</t>
    </r>
    <r>
      <rPr>
        <sz val="11"/>
        <color theme="1"/>
        <rFont val="Calibri"/>
        <family val="2"/>
        <scheme val="minor"/>
      </rPr>
      <t>, je veux réserver directement depuis ma wishlist afin de passer facilement à l’action.</t>
    </r>
  </si>
  <si>
    <t>Suivi conversion wishlist → visite</t>
  </si>
  <si>
    <r>
      <rPr>
        <b/>
        <sz val="11"/>
        <color theme="1"/>
        <rFont val="Calibri"/>
        <family val="2"/>
        <scheme val="minor"/>
      </rPr>
      <t>En tant que produit</t>
    </r>
    <r>
      <rPr>
        <sz val="11"/>
        <color theme="1"/>
        <rFont val="Calibri"/>
        <family val="2"/>
        <scheme val="minor"/>
      </rPr>
      <t>, je veux mesurer la conversion de la wishlist vers la visite réelle afin d’optimiser le funnel.</t>
    </r>
  </si>
  <si>
    <t>Rating flow</t>
  </si>
  <si>
    <t>Déclenchement automatique de la demande de notation</t>
  </si>
  <si>
    <r>
      <rPr>
        <b/>
        <sz val="11"/>
        <color theme="1"/>
        <rFont val="Calibri"/>
        <family val="2"/>
        <scheme val="minor"/>
      </rPr>
      <t>En tant qu’utilisateur</t>
    </r>
    <r>
      <rPr>
        <sz val="11"/>
        <color theme="1"/>
        <rFont val="Calibri"/>
        <family val="2"/>
        <scheme val="minor"/>
      </rPr>
      <t>, je veux être invité à noter un lieu 1 à 2 heures après ma réservation ou à la réouverture de l’app afin que mon expérience soit encore fraîche.</t>
    </r>
  </si>
  <si>
    <t>Écran de notation rapide (😊 😐 😞)</t>
  </si>
  <si>
    <r>
      <rPr>
        <b/>
        <sz val="11"/>
        <color theme="1"/>
        <rFont val="Calibri"/>
        <family val="2"/>
        <scheme val="minor"/>
      </rPr>
      <t>En tant qu’utilisateur</t>
    </r>
    <r>
      <rPr>
        <sz val="11"/>
        <color theme="1"/>
        <rFont val="Calibri"/>
        <family val="2"/>
        <scheme val="minor"/>
      </rPr>
      <t>, je veux donner une note rapide via des emojis afin de noter sans effort.</t>
    </r>
  </si>
  <si>
    <t>Possibilité d’annuler ou reporter la notation</t>
  </si>
  <si>
    <r>
      <rPr>
        <b/>
        <sz val="11"/>
        <color theme="1"/>
        <rFont val="Calibri"/>
        <family val="2"/>
        <scheme val="minor"/>
      </rPr>
      <t>En tant qu’utilisateur</t>
    </r>
    <r>
      <rPr>
        <sz val="11"/>
        <color theme="1"/>
        <rFont val="Calibri"/>
        <family val="2"/>
        <scheme val="minor"/>
      </rPr>
      <t>, je veux pouvoir annuler ou reporter la notation afin de garder le contrôle.</t>
    </r>
  </si>
  <si>
    <t>Affichage de restaurants/bars comparables</t>
  </si>
  <si>
    <r>
      <rPr>
        <b/>
        <sz val="11"/>
        <color theme="1"/>
        <rFont val="Calibri"/>
        <family val="2"/>
        <scheme val="minor"/>
      </rPr>
      <t>En tant qu’utilisateur</t>
    </r>
    <r>
      <rPr>
        <sz val="11"/>
        <color theme="1"/>
        <rFont val="Calibri"/>
        <family val="2"/>
        <scheme val="minor"/>
      </rPr>
      <t>, je veux voir jusqu’à 3 lieux similaires déjà notés afin de comparer mon expérience.</t>
    </r>
  </si>
  <si>
    <t>Choix meilleur / pire / identique</t>
  </si>
  <si>
    <r>
      <rPr>
        <b/>
        <sz val="11"/>
        <color theme="1"/>
        <rFont val="Calibri"/>
        <family val="2"/>
        <scheme val="minor"/>
      </rPr>
      <t>En tant qu’utilisateur</t>
    </r>
    <r>
      <rPr>
        <sz val="11"/>
        <color theme="1"/>
        <rFont val="Calibri"/>
        <family val="2"/>
        <scheme val="minor"/>
      </rPr>
      <t>, je veux indiquer si le lieu est meilleur, pire ou identique afin d’affiner la note.</t>
    </r>
  </si>
  <si>
    <t>Calcul automatique du score final pondéré</t>
  </si>
  <si>
    <r>
      <rPr>
        <b/>
        <sz val="11"/>
        <color theme="1"/>
        <rFont val="Calibri"/>
        <family val="2"/>
        <scheme val="minor"/>
      </rPr>
      <t>En tant que produit</t>
    </r>
    <r>
      <rPr>
        <sz val="11"/>
        <color theme="1"/>
        <rFont val="Calibri"/>
        <family val="2"/>
        <scheme val="minor"/>
      </rPr>
      <t>, je veux calculer automatiquement le score final afin d’obtenir une note plus juste.</t>
    </r>
  </si>
  <si>
    <t>Plafonnement du score entre 1 et 10</t>
  </si>
  <si>
    <r>
      <rPr>
        <b/>
        <sz val="11"/>
        <color theme="1"/>
        <rFont val="Calibri"/>
        <family val="2"/>
        <scheme val="minor"/>
      </rPr>
      <t>En tant que produit</t>
    </r>
    <r>
      <rPr>
        <sz val="11"/>
        <color theme="1"/>
        <rFont val="Calibri"/>
        <family val="2"/>
        <scheme val="minor"/>
      </rPr>
      <t>, je veux plafonner la note finale afin d’éviter les scores extrêmes incohérents.</t>
    </r>
  </si>
  <si>
    <t>Notation par catégorie (5★)</t>
  </si>
  <si>
    <r>
      <rPr>
        <b/>
        <sz val="11"/>
        <color theme="1"/>
        <rFont val="Calibri"/>
        <family val="2"/>
        <scheme val="minor"/>
      </rPr>
      <t>En tant qu’utilisateur</t>
    </r>
    <r>
      <rPr>
        <sz val="11"/>
        <color theme="1"/>
        <rFont val="Calibri"/>
        <family val="2"/>
        <scheme val="minor"/>
      </rPr>
      <t>, je veux noter des critères spécifiques (service, hygiène, ambiance, nourriture, rapport qualité-prix) afin d’exprimer un avis plus précis.</t>
    </r>
  </si>
  <si>
    <t>Ajout d’un commentaire libre</t>
  </si>
  <si>
    <r>
      <rPr>
        <b/>
        <sz val="11"/>
        <color theme="1"/>
        <rFont val="Calibri"/>
        <family val="2"/>
        <scheme val="minor"/>
      </rPr>
      <t>En tant qu’utilisateur</t>
    </r>
    <r>
      <rPr>
        <sz val="11"/>
        <color theme="1"/>
        <rFont val="Calibri"/>
        <family val="2"/>
        <scheme val="minor"/>
      </rPr>
      <t>, je veux ajouter un commentaire afin de partager mon ressenti détaillé.</t>
    </r>
  </si>
  <si>
    <t>Rating - Data, Crédibilité &amp; Exploitation Business</t>
  </si>
  <si>
    <t>Affichage du score final sur la fiche lieu</t>
  </si>
  <si>
    <r>
      <rPr>
        <b/>
        <sz val="11"/>
        <color theme="1"/>
        <rFont val="Calibri"/>
        <family val="2"/>
        <scheme val="minor"/>
      </rPr>
      <t>En tant qu’utilisateur</t>
    </r>
    <r>
      <rPr>
        <sz val="11"/>
        <color theme="1"/>
        <rFont val="Calibri"/>
        <family val="2"/>
        <scheme val="minor"/>
      </rPr>
      <t>, je veux voir le score final calculé afin de me fier à une note crédible.</t>
    </r>
  </si>
  <si>
    <t xml:space="preserve">Affichage de toutes les notes et avis </t>
  </si>
  <si>
    <t xml:space="preserve">En tant qu'utilisateur, je veux ouvoir voir toutes les notes attribuées à un lieu </t>
  </si>
  <si>
    <t>Affichage des notes lieu</t>
  </si>
  <si>
    <t xml:space="preserve">En tant qu'utilisateur, je veux pouvoir filtrer les lieux (Restaurat, bar, evénement) par note ; le plus recemment noté, la note la plus haute, la note la plus basse, </t>
  </si>
  <si>
    <t>Fidélité - Accumulation de Points &amp; Éligibilité</t>
  </si>
  <si>
    <t>Ecran de fidélité</t>
  </si>
  <si>
    <t>En tant qu'utilisateur, je dois pouvoir acceder à mes informations de fidélité à partir de mon profil,, rubrique loyauté ou au niveau de la barre de navigation, option fidélité</t>
  </si>
  <si>
    <t>Ecran de fidélité - Affichage</t>
  </si>
  <si>
    <t xml:space="preserve">En tant qu'utilisateur, je dois voir sur l'ecran de fidélité les informations suivantes : 
  - Points de fidélité disponible avec une repartition entre les points gagné ce mois et le total gagné 
  - le niveau atteint avec une barre de progression (Standard - Diamond) 
  - </t>
  </si>
  <si>
    <t>Gain de points après réservation confirmée</t>
  </si>
  <si>
    <r>
      <rPr>
        <b/>
        <sz val="11"/>
        <color theme="1"/>
        <rFont val="Calibri"/>
        <family val="2"/>
        <scheme val="minor"/>
      </rPr>
      <t>En tant qu’utilisateur</t>
    </r>
    <r>
      <rPr>
        <sz val="11"/>
        <color theme="1"/>
        <rFont val="Calibri"/>
        <family val="2"/>
        <scheme val="minor"/>
      </rPr>
      <t>, je veux gagner des points uniquement après une réservation ou un achat de billet afin que le programme reste équitable</t>
    </r>
  </si>
  <si>
    <t>Déblocage des niveaux Standard → Diamond</t>
  </si>
  <si>
    <r>
      <rPr>
        <b/>
        <sz val="11"/>
        <color theme="1"/>
        <rFont val="Calibri"/>
        <family val="2"/>
        <scheme val="minor"/>
      </rPr>
      <t>En tant qu’utilisateur</t>
    </r>
    <r>
      <rPr>
        <sz val="11"/>
        <color theme="1"/>
        <rFont val="Calibri"/>
        <family val="2"/>
        <scheme val="minor"/>
      </rPr>
      <t xml:space="preserve">, je veux monter de niveau lorsque j’atteins un seuil de points afin d’être récompensé de ma fidélité.
 - Standard -- inf à 500 point 
 - Gold -- débloqué à partir de 500 points 
 - Platinium -- débloqué à partir de 1500 points 
 - Diamond -- déblouqé à partir de 3000 points </t>
    </r>
  </si>
  <si>
    <t>Application du multiplicateur selon le rang</t>
  </si>
  <si>
    <r>
      <rPr>
        <b/>
        <sz val="11"/>
        <color theme="1"/>
        <rFont val="Calibri"/>
        <family val="2"/>
        <scheme val="minor"/>
      </rPr>
      <t>En tant qu’utilisateur</t>
    </r>
    <r>
      <rPr>
        <sz val="11"/>
        <color theme="1"/>
        <rFont val="Calibri"/>
        <family val="2"/>
        <scheme val="minor"/>
      </rPr>
      <t>, je veux que mes points soient multipliés selon mon niveau afin de bénéficier de mon statut fidélité; selon la règle suivante : 
 - Standard -- 20 points par reservation 
  - Gold -- Multiplicateur x 1.5 (30 opints) 
 - Platinium -- Multiplicateur x2 (40 poins) 
 - Diamond -- Multiplicateur x 3 (60 points)</t>
    </r>
  </si>
  <si>
    <t>Pénalité no-show (❌)</t>
  </si>
  <si>
    <r>
      <rPr>
        <b/>
        <sz val="11"/>
        <color theme="1"/>
        <rFont val="Calibri"/>
        <family val="2"/>
        <scheme val="minor"/>
      </rPr>
      <t>En tant que produit</t>
    </r>
    <r>
      <rPr>
        <sz val="11"/>
        <color theme="1"/>
        <rFont val="Calibri"/>
        <family val="2"/>
        <scheme val="minor"/>
      </rPr>
      <t>, je veux retirer les points si un no-show est signalé afin de préserver la crédibilité du programme.</t>
    </r>
  </si>
  <si>
    <t>Historique des gains de points</t>
  </si>
  <si>
    <r>
      <rPr>
        <b/>
        <sz val="11"/>
        <color theme="1"/>
        <rFont val="Calibri"/>
        <family val="2"/>
        <scheme val="minor"/>
      </rPr>
      <t>En tant qu’utilisateur</t>
    </r>
    <r>
      <rPr>
        <sz val="11"/>
        <color theme="1"/>
        <rFont val="Calibri"/>
        <family val="2"/>
        <scheme val="minor"/>
      </rPr>
      <t>, je veux voir l’historique de mes gains afin de comprendre comment mes points ont été accumulés.</t>
    </r>
  </si>
  <si>
    <t>Barre de progression &amp; ETA</t>
  </si>
  <si>
    <r>
      <rPr>
        <b/>
        <sz val="11"/>
        <color theme="1"/>
        <rFont val="Calibri"/>
        <family val="2"/>
        <scheme val="minor"/>
      </rPr>
      <t>En tant qu’utilisateur</t>
    </r>
    <r>
      <rPr>
        <sz val="11"/>
        <color theme="1"/>
        <rFont val="Calibri"/>
        <family val="2"/>
        <scheme val="minor"/>
      </rPr>
      <t>, je veux voir ma progression vers le niveau suivant afin de rester motivé.</t>
    </r>
  </si>
  <si>
    <t>Badge de rang visible dans l’app</t>
  </si>
  <si>
    <r>
      <rPr>
        <b/>
        <sz val="11"/>
        <color theme="1"/>
        <rFont val="Calibri"/>
        <family val="2"/>
        <scheme val="minor"/>
      </rPr>
      <t>En tant qu’utilisateur</t>
    </r>
    <r>
      <rPr>
        <sz val="11"/>
        <color theme="1"/>
        <rFont val="Calibri"/>
        <family val="2"/>
        <scheme val="minor"/>
      </rPr>
      <t>, je veux afficher mon badge de rang afin d’être reconnu dans la communauté.</t>
    </r>
  </si>
  <si>
    <t>Dégradation automatique de niveau</t>
  </si>
  <si>
    <r>
      <rPr>
        <b/>
        <sz val="11"/>
        <color theme="1"/>
        <rFont val="Calibri"/>
        <family val="2"/>
        <scheme val="minor"/>
      </rPr>
      <t>En tant que produit</t>
    </r>
    <r>
      <rPr>
        <sz val="11"/>
        <color theme="1"/>
        <rFont val="Calibri"/>
        <family val="2"/>
        <scheme val="minor"/>
      </rPr>
      <t>, je veux appliquer une dégradation tous les 2 ans afin de maintenir l’engagement actif.</t>
    </r>
  </si>
  <si>
    <t>Fidélité - Récompenses &amp; Échange de Points</t>
  </si>
  <si>
    <t>Catalogue de récompenses disponibles</t>
  </si>
  <si>
    <r>
      <rPr>
        <b/>
        <sz val="11"/>
        <color theme="1"/>
        <rFont val="Calibri"/>
        <family val="2"/>
        <scheme val="minor"/>
      </rPr>
      <t>En tant qu’utilisateur</t>
    </r>
    <r>
      <rPr>
        <sz val="11"/>
        <color theme="1"/>
        <rFont val="Calibri"/>
        <family val="2"/>
        <scheme val="minor"/>
      </rPr>
      <t>, je veux voir les récompenses disponibles afin de décider comment utiliser mes points.</t>
    </r>
  </si>
  <si>
    <t>Échange de points contre récompense</t>
  </si>
  <si>
    <r>
      <rPr>
        <b/>
        <sz val="11"/>
        <color theme="1"/>
        <rFont val="Calibri"/>
        <family val="2"/>
        <scheme val="minor"/>
      </rPr>
      <t>En tant qu’utilisateur</t>
    </r>
    <r>
      <rPr>
        <sz val="11"/>
        <color theme="1"/>
        <rFont val="Calibri"/>
        <family val="2"/>
        <scheme val="minor"/>
      </rPr>
      <t>, je veux échanger mes points contre une récompense afin d’en tirer un bénéfice réel.</t>
    </r>
  </si>
  <si>
    <t>Gestion des points expirants</t>
  </si>
  <si>
    <r>
      <rPr>
        <b/>
        <sz val="11"/>
        <color theme="1"/>
        <rFont val="Calibri"/>
        <family val="2"/>
        <scheme val="minor"/>
      </rPr>
      <t>En tant qu’utilisateur</t>
    </r>
    <r>
      <rPr>
        <sz val="11"/>
        <color theme="1"/>
        <rFont val="Calibri"/>
        <family val="2"/>
        <scheme val="minor"/>
      </rPr>
      <t>, je veux être alerté lorsque mes points vont expirer afin de ne pas les perdre.</t>
    </r>
  </si>
  <si>
    <t>Réseau d’Amis &amp; Confidentialité</t>
  </si>
  <si>
    <t>Ajout d’amis par email ou téléphone</t>
  </si>
  <si>
    <r>
      <rPr>
        <b/>
        <sz val="11"/>
        <color theme="1"/>
        <rFont val="Calibri"/>
        <family val="2"/>
        <scheme val="minor"/>
      </rPr>
      <t>En tant qu’utilisateur</t>
    </r>
    <r>
      <rPr>
        <sz val="11"/>
        <color theme="1"/>
        <rFont val="Calibri"/>
        <family val="2"/>
        <scheme val="minor"/>
      </rPr>
      <t>, je veux ajouter des amis via email ou téléphone afin de retrouver facilement des connaissances sur LYFE.</t>
    </r>
  </si>
  <si>
    <t>Gestion des demandes d’amis</t>
  </si>
  <si>
    <r>
      <rPr>
        <b/>
        <sz val="11"/>
        <color theme="1"/>
        <rFont val="Calibri"/>
        <family val="2"/>
        <scheme val="minor"/>
      </rPr>
      <t>En tant qu’utilisateur</t>
    </r>
    <r>
      <rPr>
        <sz val="11"/>
        <color theme="1"/>
        <rFont val="Calibri"/>
        <family val="2"/>
        <scheme val="minor"/>
      </rPr>
      <t>, je veux accepter, refuser ou bloquer une demande afin de contrôler mon réseau.</t>
    </r>
  </si>
  <si>
    <t>Paramètres de visibilité du profil</t>
  </si>
  <si>
    <r>
      <rPr>
        <b/>
        <sz val="11"/>
        <color theme="1"/>
        <rFont val="Calibri"/>
        <family val="2"/>
        <scheme val="minor"/>
      </rPr>
      <t>En tant qu’utilisateur</t>
    </r>
    <r>
      <rPr>
        <sz val="11"/>
        <color theme="1"/>
        <rFont val="Calibri"/>
        <family val="2"/>
        <scheme val="minor"/>
      </rPr>
      <t>, je veux choisir si mon profil est public à mes amis ou privé afin de protéger mon activité.</t>
    </r>
  </si>
  <si>
    <t>Blocage d’un utilisateur</t>
  </si>
  <si>
    <r>
      <rPr>
        <b/>
        <sz val="11"/>
        <color theme="1"/>
        <rFont val="Calibri"/>
        <family val="2"/>
        <scheme val="minor"/>
      </rPr>
      <t>En tant qu’utilisateur</t>
    </r>
    <r>
      <rPr>
        <sz val="11"/>
        <color theme="1"/>
        <rFont val="Calibri"/>
        <family val="2"/>
        <scheme val="minor"/>
      </rPr>
      <t>, je veux bloquer un autre utilisateur afin de ne plus voir ni partager d’activité avec lui.</t>
    </r>
  </si>
  <si>
    <t>Feed Communautaire &amp; Activité Sociale</t>
  </si>
  <si>
    <t>Feed activité des amis</t>
  </si>
  <si>
    <r>
      <rPr>
        <b/>
        <sz val="11"/>
        <color theme="1"/>
        <rFont val="Calibri"/>
        <family val="2"/>
        <scheme val="minor"/>
      </rPr>
      <t>En tant qu’utilisateur</t>
    </r>
    <r>
      <rPr>
        <sz val="11"/>
        <color theme="1"/>
        <rFont val="Calibri"/>
        <family val="2"/>
        <scheme val="minor"/>
      </rPr>
      <t>, je veux voir les lieux visités et notés par mes amis afin de m’inspirer de leurs expériences.</t>
    </r>
  </si>
  <si>
    <t xml:space="preserve"> Détails des avis amis</t>
  </si>
  <si>
    <r>
      <rPr>
        <b/>
        <sz val="11"/>
        <color theme="1"/>
        <rFont val="Calibri"/>
        <family val="2"/>
        <scheme val="minor"/>
      </rPr>
      <t>En tant qu’utilisateur</t>
    </r>
    <r>
      <rPr>
        <sz val="11"/>
        <color theme="1"/>
        <rFont val="Calibri"/>
        <family val="2"/>
        <scheme val="minor"/>
      </rPr>
      <t>, je veux voir les notes et extraits d’avis de mes amis afin de faire confiance à leurs recommandations.</t>
    </r>
  </si>
  <si>
    <t>Posts attachés aux lieux</t>
  </si>
  <si>
    <r>
      <rPr>
        <b/>
        <sz val="11"/>
        <color theme="1"/>
        <rFont val="Calibri"/>
        <family val="2"/>
        <scheme val="minor"/>
      </rPr>
      <t>En tant qu’utilisateur</t>
    </r>
    <r>
      <rPr>
        <sz val="11"/>
        <color theme="1"/>
        <rFont val="Calibri"/>
        <family val="2"/>
        <scheme val="minor"/>
      </rPr>
      <t>, je veux voir les posts communautaires liés à un lieu afin d’avoir un contexte social complet.</t>
    </r>
  </si>
  <si>
    <t>Classements &amp; Influence Sociale</t>
  </si>
  <si>
    <t>Classement “Top Explorateurs”</t>
  </si>
  <si>
    <r>
      <rPr>
        <b/>
        <sz val="11"/>
        <color theme="1"/>
        <rFont val="Calibri"/>
        <family val="2"/>
        <scheme val="minor"/>
      </rPr>
      <t>En tant qu’utilisateur</t>
    </r>
    <r>
      <rPr>
        <sz val="11"/>
        <color theme="1"/>
        <rFont val="Calibri"/>
        <family val="2"/>
        <scheme val="minor"/>
      </rPr>
      <t>, je veux voir un classement des amis les plus actifs afin de comparer et me motiver.</t>
    </r>
  </si>
  <si>
    <t>Règles de départage du classement</t>
  </si>
  <si>
    <r>
      <rPr>
        <b/>
        <sz val="11"/>
        <color theme="1"/>
        <rFont val="Calibri"/>
        <family val="2"/>
        <scheme val="minor"/>
      </rPr>
      <t>En tant que produit</t>
    </r>
    <r>
      <rPr>
        <sz val="11"/>
        <color theme="1"/>
        <rFont val="Calibri"/>
        <family val="2"/>
        <scheme val="minor"/>
      </rPr>
      <t>, je veux classer les utilisateurs selon lieux visités, qualité d’avis et activité récente afin d’assurer la pertinence.</t>
    </r>
  </si>
  <si>
    <t>Classement influenceurs &amp; lieux</t>
  </si>
  <si>
    <r>
      <rPr>
        <b/>
        <sz val="11"/>
        <color theme="1"/>
        <rFont val="Calibri"/>
        <family val="2"/>
        <scheme val="minor"/>
      </rPr>
      <t>En tant qu’utilisateur</t>
    </r>
    <r>
      <rPr>
        <sz val="11"/>
        <color theme="1"/>
        <rFont val="Calibri"/>
        <family val="2"/>
        <scheme val="minor"/>
      </rPr>
      <t>, je veux découvrir les influenceurs et lieux les mieux notés afin d’identifier des références fiables.</t>
    </r>
  </si>
  <si>
    <t>Engagement, Notifications &amp; Data Communautaire</t>
  </si>
  <si>
    <t>Notification post-réservation “Partager votre expérience”</t>
  </si>
  <si>
    <r>
      <rPr>
        <b/>
        <sz val="11"/>
        <color theme="1"/>
        <rFont val="Calibri"/>
        <family val="2"/>
        <scheme val="minor"/>
      </rPr>
      <t>En tant qu’utilisateur</t>
    </r>
    <r>
      <rPr>
        <sz val="11"/>
        <color theme="1"/>
        <rFont val="Calibri"/>
        <family val="2"/>
        <scheme val="minor"/>
      </rPr>
      <t>, je veux recevoir une notification après ma visite afin d’être incité à partager mon expérience.</t>
    </r>
  </si>
  <si>
    <t>Publication de stories, photos ou avis</t>
  </si>
  <si>
    <r>
      <rPr>
        <b/>
        <sz val="11"/>
        <color theme="1"/>
        <rFont val="Calibri"/>
        <family val="2"/>
        <scheme val="minor"/>
      </rPr>
      <t>En tant qu’utilisateur</t>
    </r>
    <r>
      <rPr>
        <sz val="11"/>
        <color theme="1"/>
        <rFont val="Calibri"/>
        <family val="2"/>
        <scheme val="minor"/>
      </rPr>
      <t>, je veux publier du contenu communautaire afin de partager mon expérience avec mes amis.</t>
    </r>
  </si>
  <si>
    <t>Likes, commentaires et partages communautaires</t>
  </si>
  <si>
    <r>
      <rPr>
        <b/>
        <sz val="11"/>
        <color theme="1"/>
        <rFont val="Calibri"/>
        <family val="2"/>
        <scheme val="minor"/>
      </rPr>
      <t>En tant qu’utilisateur</t>
    </r>
    <r>
      <rPr>
        <sz val="11"/>
        <color theme="1"/>
        <rFont val="Calibri"/>
        <family val="2"/>
        <scheme val="minor"/>
      </rPr>
      <t>, je veux interagir avec les posts communautaires afin de participer à la vie du réseau.</t>
    </r>
  </si>
  <si>
    <t>Tracking engagement communautaire</t>
  </si>
  <si>
    <r>
      <rPr>
        <b/>
        <sz val="11"/>
        <color theme="1"/>
        <rFont val="Calibri"/>
        <family val="2"/>
        <scheme val="minor"/>
      </rPr>
      <t>En tant que produit</t>
    </r>
    <r>
      <rPr>
        <sz val="11"/>
        <color theme="1"/>
        <rFont val="Calibri"/>
        <family val="2"/>
        <scheme val="minor"/>
      </rPr>
      <t>, je veux mesurer les clics, likes, partages et réponses aux notifications afin d’optimiser l’engagement.</t>
    </r>
  </si>
  <si>
    <t>Affichage de la note donnée</t>
  </si>
  <si>
    <r>
      <rPr>
        <b/>
        <sz val="11"/>
        <color theme="1"/>
        <rFont val="Calibri"/>
        <family val="2"/>
        <scheme val="minor"/>
      </rPr>
      <t>En tant qu’utilisateur</t>
    </r>
    <r>
      <rPr>
        <sz val="11"/>
        <color theme="1"/>
        <rFont val="Calibri"/>
        <family val="2"/>
        <scheme val="minor"/>
      </rPr>
      <t>, je veux voir la note que j’ai attribuée afin de garder une trace de mon avis.</t>
    </r>
  </si>
  <si>
    <t>mes reservations - Tracking &amp; Insights Réservations</t>
  </si>
  <si>
    <t>Tracking actions sur réservations</t>
  </si>
  <si>
    <r>
      <rPr>
        <b/>
        <sz val="11"/>
        <color theme="1"/>
        <rFont val="Calibri"/>
        <family val="2"/>
        <scheme val="minor"/>
      </rPr>
      <t>En tant que produit</t>
    </r>
    <r>
      <rPr>
        <sz val="11"/>
        <color theme="1"/>
        <rFont val="Calibri"/>
        <family val="2"/>
        <scheme val="minor"/>
      </rPr>
      <t>, je veux mesurer les actions (modifier, annuler, partager) afin d’optimiser le parcours.</t>
    </r>
  </si>
  <si>
    <t>Tracking statuts réservations</t>
  </si>
  <si>
    <r>
      <rPr>
        <b/>
        <sz val="11"/>
        <color theme="1"/>
        <rFont val="Calibri"/>
        <family val="2"/>
        <scheme val="minor"/>
      </rPr>
      <t>En tant que produit</t>
    </r>
    <r>
      <rPr>
        <sz val="11"/>
        <color theme="1"/>
        <rFont val="Calibri"/>
        <family val="2"/>
        <scheme val="minor"/>
      </rPr>
      <t>, je veux analyser les statuts (confirmé, annulé, no-show) afin d’améliorer la planification.</t>
    </r>
  </si>
  <si>
    <t>Tracking &amp; Données de Recherche</t>
  </si>
  <si>
    <t>Tracking des termes de recherche exacts</t>
  </si>
  <si>
    <r>
      <rPr>
        <b/>
        <sz val="11"/>
        <color theme="1"/>
        <rFont val="Calibri"/>
        <family val="2"/>
        <scheme val="minor"/>
      </rPr>
      <t>En tant que produit</t>
    </r>
    <r>
      <rPr>
        <sz val="11"/>
        <color theme="1"/>
        <rFont val="Calibri"/>
        <family val="2"/>
        <scheme val="minor"/>
      </rPr>
      <t>, je veux enregistrer les termes exacts afin d’analyser les intentions utilisateurs.</t>
    </r>
  </si>
  <si>
    <t>Tracking filtres et tris appliqués</t>
  </si>
  <si>
    <r>
      <rPr>
        <b/>
        <sz val="11"/>
        <color theme="1"/>
        <rFont val="Calibri"/>
        <family val="2"/>
        <scheme val="minor"/>
      </rPr>
      <t>En tant que produit</t>
    </r>
    <r>
      <rPr>
        <sz val="11"/>
        <color theme="1"/>
        <rFont val="Calibri"/>
        <family val="2"/>
        <scheme val="minor"/>
      </rPr>
      <t>, je veux enregistrer les filtres et tris afin de comprendre les préférences.</t>
    </r>
  </si>
  <si>
    <t>Tracking géolocalisation, date et heure</t>
  </si>
  <si>
    <r>
      <rPr>
        <b/>
        <sz val="11"/>
        <color theme="1"/>
        <rFont val="Calibri"/>
        <family val="2"/>
        <scheme val="minor"/>
      </rPr>
      <t>En tant que produit</t>
    </r>
    <r>
      <rPr>
        <sz val="11"/>
        <color theme="1"/>
        <rFont val="Calibri"/>
        <family val="2"/>
        <scheme val="minor"/>
      </rPr>
      <t>, je veux contextualiser les recherches afin d’identifier des patterns temporels et géographiques.</t>
    </r>
  </si>
  <si>
    <t>Tracking clics résultats vs ignorés</t>
  </si>
  <si>
    <r>
      <rPr>
        <b/>
        <sz val="11"/>
        <color theme="1"/>
        <rFont val="Calibri"/>
        <family val="2"/>
        <scheme val="minor"/>
      </rPr>
      <t>En tant que produit</t>
    </r>
    <r>
      <rPr>
        <sz val="11"/>
        <color theme="1"/>
        <rFont val="Calibri"/>
        <family val="2"/>
        <scheme val="minor"/>
      </rPr>
      <t>, je veux mesurer les résultats cliqués ou ignorés afin d’optimiser le ranking.</t>
    </r>
  </si>
  <si>
    <t xml:space="preserve"> Tracking recherches sans résultats</t>
  </si>
  <si>
    <r>
      <rPr>
        <b/>
        <sz val="11"/>
        <color theme="1"/>
        <rFont val="Calibri"/>
        <family val="2"/>
        <scheme val="minor"/>
      </rPr>
      <t>En tant que produit</t>
    </r>
    <r>
      <rPr>
        <sz val="11"/>
        <color theme="1"/>
        <rFont val="Calibri"/>
        <family val="2"/>
        <scheme val="minor"/>
      </rPr>
      <t>, je veux identifier les recherches sans résultats afin de détecter des opportunités business.</t>
    </r>
  </si>
  <si>
    <t>Tracking recherches abandonnées</t>
  </si>
  <si>
    <r>
      <rPr>
        <b/>
        <sz val="11"/>
        <color theme="1"/>
        <rFont val="Calibri"/>
        <family val="2"/>
        <scheme val="minor"/>
      </rPr>
      <t>En tant que produit</t>
    </r>
    <r>
      <rPr>
        <sz val="11"/>
        <color theme="1"/>
        <rFont val="Calibri"/>
        <family val="2"/>
        <scheme val="minor"/>
      </rPr>
      <t>, je veux mesurer les abandons afin de réduire la friction.</t>
    </r>
  </si>
  <si>
    <t>Dashboard</t>
  </si>
  <si>
    <t>Dashboard restaurant partenaire web</t>
  </si>
  <si>
    <t>Mise en place des Dashboards basique (Authentification + Création de Venue + Gestion des reservation uniquement) </t>
  </si>
  <si>
    <t>Mise en place des Dashboards avancés</t>
  </si>
  <si>
    <t xml:space="preserve">Dashboard Drinks/Cellar partenaire </t>
  </si>
  <si>
    <t>Dashboard organisateur évènement</t>
  </si>
  <si>
    <t>en tant que partenaire, je dois pouvoir : 
Créer événement
Gérer billets (types, prix, capacité)
Voir ventes temps réel
Scanner billets (check-in)
Voir analytics: Ventes par jour, taux conversion, revenue
Export liste participants
Envoyer annonces participants
Rembourser billets</t>
  </si>
  <si>
    <t>Administration App</t>
  </si>
  <si>
    <t>Internal admin panel</t>
  </si>
  <si>
    <t>En tant qu'administrateur, je dois pouvoir : 
Gérer utilisateurs: Voir, éditer, bannir, supprimer
Gérer venues: Approve, reject, edit, feature (boost)
Gérer événements: Moderate, approve, cancel
Voir analytics: KPIs dashboard, revenue, user growth
Modération contenu: Reviews, posts, media (approve/reject)
Support tickets: Voir, répondre, escalader
Gestion promotions: Créer codes promo, campagnes
Logs &amp; audit: User actions, admin actions, errors</t>
  </si>
  <si>
    <t>AI AGENT</t>
  </si>
  <si>
    <t>Agent Basic - Recommandations IA conversationnelles</t>
  </si>
  <si>
    <t>Chat interface
Poser question ('Où dîner ce soir?')
Voir suggestions
Affiner préférences
Réserver depuis agent</t>
  </si>
  <si>
    <t>Agent premium - Agent IA avancé avec personnalisation</t>
  </si>
  <si>
    <t>Toutes features Basic +
Personnalisation profonde (apprendre préférences)
Itinéraires multi-venues
Recommandations groupe
Booking automatique
Voice input
Image recognition ('Trouve restaurants similaires à cette photo')</t>
  </si>
  <si>
    <t>Uniformiser les couleurs au niveau de tous les ecrans</t>
  </si>
  <si>
    <t>Allignement des bulles de catégorie</t>
  </si>
  <si>
    <t>reporter la police et la taille des textes selon ce qui a été fourni au niveau des maquettes</t>
  </si>
  <si>
    <t xml:space="preserve">reporter la forme et la police des boutons selon ce qui été fourni au niveau des maquettes </t>
  </si>
  <si>
    <t xml:space="preserve">barre de navigation : reprendre le modèle partagé </t>
  </si>
  <si>
    <t>Ajustement des écrans sur la base des écrans fournis suite à l'écart constaté en Sprint 1</t>
  </si>
  <si>
    <t>Fonctionnalité MAP sur ecran principal</t>
  </si>
  <si>
    <t xml:space="preserve">Fonctionnalité de traduction des menus </t>
  </si>
  <si>
    <t>Fonctionnalité de rating avec ELO engine</t>
  </si>
  <si>
    <t>Fonctionnalité de reservation manuelle è Whatsapp</t>
  </si>
  <si>
    <t>Fonctionnalité de reservation via API</t>
  </si>
  <si>
    <t xml:space="preserve">déploiment application sur appstore, 3 environnement et 3 accès différents (1 pour utilisateur renvoyant vers coming soon, 1 pour gitex pour let et Hamid et 3 pour les futures livraisons </t>
  </si>
  <si>
    <t>6 BIS</t>
  </si>
  <si>
    <t>Affichage de la communauté dans la MAP</t>
  </si>
  <si>
    <t>Amélioration de la responsive design</t>
  </si>
  <si>
    <t>intégration des données fournies par LYFE pour les tests d'integréation</t>
  </si>
  <si>
    <t>Integration des adresses sur la base du fichier excel fourni le 13/04</t>
  </si>
  <si>
    <t>retrait des connexions via facebook ou instagram</t>
  </si>
  <si>
    <t>Ajout des logos Payzone au niveau des écrans de paiment</t>
  </si>
  <si>
    <t xml:space="preserve">Integration du fichier de traduction </t>
  </si>
  <si>
    <t>BETA UAT - Purge BD PROD et integration des données de tests LYFE</t>
  </si>
  <si>
    <t>BETA UAT - Restriction d'accès à l'appli sur appstore - EVO</t>
  </si>
  <si>
    <t>BETA UAT - 02/07 - Inscription / Connexion / Vérification - ANO : Impossible de coller le code de vérification (whstapp ou mail)</t>
  </si>
  <si>
    <t>ANO</t>
  </si>
  <si>
    <t>BETA UAT - 02/07 - Inscription / Connexion / Vérification - CHG : Supprimer le choix de la méthode de vérification</t>
  </si>
  <si>
    <t>CHG</t>
  </si>
  <si>
    <t>BETA UAT - 02/07 - Inscription / Connexion / Vérification - ANO - Connexion automatique après inscription</t>
  </si>
  <si>
    <t>BETA UAT - 02/07 - Inscription / Connexion / Vérification - CHG - Supprimer « Admin Access » de la page de connexion</t>
  </si>
  <si>
    <t>BETA UAT - 02/07 - Lancement / Branding général - CHG - Redimensionner le logo LYFE</t>
  </si>
  <si>
    <t>BETA UAT - 02/07 - Lancement / Branding général - ANO - Corriger le splash Screen</t>
  </si>
  <si>
    <t>BETA UAT - 02/07 - Lancement / Branding général - ANO - Ajuster la taile des X sur les différents écran</t>
  </si>
  <si>
    <t>BETA UAT - 02/07 - Lancement / Branding général - ANO - Corriger les flèches de retour</t>
  </si>
  <si>
    <t>BETA UAT - 02/07 - Lancement / Branding général - ANO - Uniformiser la langue dans toute l'application</t>
  </si>
  <si>
    <t>BETA UAT - 02/07 - Permissions / Pop-ups Apple - CHG - Pop-up de communication / notifications</t>
  </si>
  <si>
    <t>BETA UAT - 02/07 - Permissions / Pop-ups Apple - CHG - Pop-up de localisation</t>
  </si>
  <si>
    <t>BETA UAT - 02/07 - Permissions / Pop-ups Apple - CHG - Limiter les autorisations à deux pop-ups principaux</t>
  </si>
  <si>
    <t>BETA UAT - 02/07 - Conditions d'utilisation / Consentement - ANO - Agrandir les cases à cocher pour accepter les conditions</t>
  </si>
  <si>
    <t>BETA UAT - 02/07 - Conditions d'utilisation / Consentement - CHG - L'acceptation des conditions n'est pas assez claire ou pas suffisamment imposée pendant l'inscription.</t>
  </si>
  <si>
    <t>BETA UAT - 02/07 - Page d'accueil - CHG - Renommer la rubrique "Drinks"</t>
  </si>
  <si>
    <t>BETA UAT - 02/07 - Page d'accueil - CHG - Supprimer les descriptions sous les noms de catégories</t>
  </si>
  <si>
    <t>BETA UAT - 02/07 - Page d'accueil - CHG - Désactiver « Recevoir les notifications » pour le moment</t>
  </si>
  <si>
    <t>BETA UAT - 02/07 - Page restaurant - ANO - Bouton localisation / itinéraire</t>
  </si>
  <si>
    <t>BETA UAT - 02/07 - Page restaurant - CHG - Désactiver les stories pour le moment</t>
  </si>
  <si>
    <t>BETA UAT - 02/07 - Page restaurant - CHG - Supprimer le bouton « Voir tout »</t>
  </si>
  <si>
    <t>BETA UAT - 02/07 - Page restaurant - CHG - Ajouter un overlay / bandeau sur les cartes restaurants</t>
  </si>
  <si>
    <t>BETA UAT - 02/07 - Page restaurant - ANO - Rendre toute la carte restaurant cliquable</t>
  </si>
  <si>
    <t>BETA UAT - 02/07 - Page restaurant - CHG - Désactiver le bouton menu si aucun menu n'est disponible</t>
  </si>
  <si>
    <t>BETA UAT - 02/07 - Page restaurant - ANO - Fourchette de prix en symboles « $ »</t>
  </si>
  <si>
    <t>BETA UAT - 02/07 - Page Restaurant - ANO - Améliorer l'affichage après clic sur localisation</t>
  </si>
  <si>
    <t>BETA UAT - 02/07 - Reservations - CHG - Améliorer l'écran de confirmation de réservation</t>
  </si>
  <si>
    <t>BETA UAT - 02/07 - Notes et avis - CHG - Revoir entièrement le système de notation</t>
  </si>
  <si>
    <t xml:space="preserve">BETA UAT - 02/07 - Notes et avis - CHG - Notes et avis - Atelier à prévoir </t>
  </si>
  <si>
    <t>BETA UAT - 02/07 - Pages paramètres - CHG - La plupart des boutons ne fonctionnent pas</t>
  </si>
  <si>
    <t>BETA UAT - 02/07 - Pages paramètres - CHG - Cacher ou désactiver les boutons non fonctionnels</t>
  </si>
  <si>
    <t>BETA UAT - 02/07 - Pages paramètres - ANO - Le bouton « Enregistrer » dans « Mon Profil » doit s'activer visuellement</t>
  </si>
  <si>
    <t>BETA UAT - 02/07 - Pages Paramètres - CHG - Synchroniser les notifications avec les réglages du téléphone</t>
  </si>
  <si>
    <t>BETA UAT - Pages param-tres - CHG - Les boutons comme 2FA ne fonctionnent pas</t>
  </si>
  <si>
    <t>BETA UAT - 21/07 - CHG - enlever le Guest Mode</t>
  </si>
  <si>
    <t>BETA UAT -21/07 - CHG - Activer les liens des terms dutilisations et des polices de confidentialite (CGV et CGU après ajoute des CGU)</t>
  </si>
  <si>
    <t>BETA UAT - 21/07 - ANO - le user ne doit pas scroller dans la page Login</t>
  </si>
  <si>
    <t>BETA UAT - 21/07 - CHG - Changer "welcome back to Lyfe Morocco" to "Welcome to LYFE"</t>
  </si>
  <si>
    <t xml:space="preserve">BETA UAT -21/07 - CHG - Les liens des terms dutilisations et des polices de confidentialite ne marche pas et se s'ouvre pas </t>
  </si>
  <si>
    <t>BETA UAT - 21/07 - ANO -  Pourquoi l'utilisateur deja inscrit doit reclicker sur terms of use</t>
  </si>
  <si>
    <t>BETA UAT - 21/07 - ANO - Ajouter le symbol de la camera, meme un plus comme ca c'est plus claire pour l'utilisateur</t>
  </si>
  <si>
    <t>BETA UAT - 21/07 - CHG - l'utilisateur est un peu confus pour sortir de ce screen, je propose de pousser le pop up vers  le bas comme ca il peut clicker en haut pour revenir a la page precedente</t>
  </si>
  <si>
    <t>BETA UAT - 21/07 - CHG - Il faut montrer qu'il ya plusieur photos, il faut qu'une partie de la troisieme se voit, la on dirait qu'il y a que deuc photo, facile a skip</t>
  </si>
  <si>
    <t>BETA UAT - 21/07 - CHG - Il faut troucer une solution pour la map, je propose Location en blue et avec une ligne</t>
  </si>
  <si>
    <t>BETA UAT - 21/07 - CHG - reservation restau - ajouter des creneaux de 30 min</t>
  </si>
  <si>
    <t>BETA UAT - 21/07 - ANO - utilisateur ne doit pas reserver dans le passé</t>
  </si>
  <si>
    <t>BETA UAT - 21/07 - CHG - Rating système</t>
  </si>
  <si>
    <t>BETA UAT - 21/07 - ANO - la photo de profil ne se met pas a jour apres chargement de la photo</t>
  </si>
  <si>
    <t>BETA UAT -21/07 - CHG - Description restaurant à enlever</t>
  </si>
  <si>
    <t>BETA UAT - 03/08 - CHG - Photos Appli sur Appstore à changer et mettre les 3 photos Onboarding</t>
  </si>
  <si>
    <t xml:space="preserve">BETA UAT - 03/08 - CHG - Changement des "Terms of use" en fr </t>
  </si>
  <si>
    <t>BETA UAT - 03/08 - CHG- Cacher la cloche de notif au niveau de tous les ecrans puisque les notifications ne sont pas encore traitées</t>
  </si>
  <si>
    <t>BETA UAT - 03/08 - CHG - Change Password __ a traiter au niveau du profil utilisateur  è bouton à ajouter et revnoi vers ecran "Nouveau Mot de passe" -Frame 32</t>
  </si>
  <si>
    <t xml:space="preserve">BETA UAT - 03/08 - CHG - Annulation Achat Ticket Event - à Cacher - interruption du process de paiment mais compteur réduit tout de meme </t>
  </si>
  <si>
    <t>BETA UAT - 03/08 - CHG - Overlay sur ecran Restau/Drinks/Events pour garantir l'affichage de tous les elements (à l'instar de ce qui a été fait pour la note et pour le nom du restau)</t>
  </si>
  <si>
    <t>BETA UAT - 03/08 - CHG - LOGO LYFE sur icone application - à ajuster selon l'ecran du tel - tres petit actuellement</t>
  </si>
  <si>
    <t xml:space="preserve">BETA UAT - 03/08 - CHG - Ajouter un cache avec mention "Coming Soon" sur les deux rubrique Restau et Drinks sur l'application de manière à ce qu'elles ne soient plus cliquable et accessible _ </t>
  </si>
  <si>
    <t>BETA UAT - 03/08 - CHG - Ecran détail Event _ espace communauté à cacher</t>
  </si>
  <si>
    <t>BETA UAT - 03/08 - CHG - Ecran détail Event _ bouton suivre à cacher</t>
  </si>
  <si>
    <t>BETA UAT - 03/08 - CHG - Ecran détail Event _ Organisateur (après clique sur lire la suite à Cacher)</t>
  </si>
  <si>
    <t xml:space="preserve">BETA UAT - 03/08 - CHG - Gestion des tickets _ Ticket vs Table VIP _ pour l'évènement LYFE prévu le 15/08 _ avec mention du prix restant à payer sur place) </t>
  </si>
  <si>
    <t xml:space="preserve">En tant qu'organisateur je dois pouvoir paramétrer le montant a payer sur l'appli et le montant à payer sur place pour les evenement à paiment partiel </t>
  </si>
  <si>
    <t>BETA UAT - 03/08 - ANO - Utilisateur connecté, accès au profil, scroll vers le bes renvoie vers l'ecran de connexion</t>
  </si>
  <si>
    <t>BETA UAT - 03/08 - ANO - Champ de saisie : à centrer - tous les textes sont tronqués</t>
  </si>
  <si>
    <t>BETA UAT - 03/08 - ANO - Event : background à corriger (actuellement reprend l'exemple utilisé en tests)</t>
  </si>
  <si>
    <t>BETA UAT - 03/08 - ANO - Events : Catégorie à afficher selon ce qui est créé en BD</t>
  </si>
  <si>
    <t xml:space="preserve">BETA UAT - 03/08 - ANO - Deconnexion automatique suite à Timer ___ à retirer </t>
  </si>
  <si>
    <t>BETA UAT - 03/08 - ANO - Synchronisation session utilisateur entre FE et BE sur Dashboard Organisateur Event</t>
  </si>
  <si>
    <t>BETA UAT - 03/08 - ANO - Event - Ticket disponible à calculer sur la base des paiement effectués et confirmés par Payzone</t>
  </si>
  <si>
    <t>BETA UAT - 03/08 - ANO - Voir mes tcket _ Affichage QR Code _ Application crash</t>
  </si>
  <si>
    <t>BETA UAT - 03/08 - ANO - Langue - garder uniquement le FR</t>
  </si>
  <si>
    <t xml:space="preserve">BETA UAT - 03/08 - ANO - Ajout d'une photo de profil è process tres lent et se bloque </t>
  </si>
  <si>
    <t>BETA UAT - 03/08 - ANO - Reservation _ via Email _ le restaurateur ne reçoit pas de mail pour accepter ou refuser la reservation ou inviter l'utilisateur à choisir un autre créneau</t>
  </si>
  <si>
    <t>BETA UAT - 03/08 - ANO - Reservation Restau &amp; Drinks : changement d'ecran à "Votre réservation est en cours de confirmation" et non "Reservation confirmée" - de memepour les statuts sur la liste des reservation à "en attente de confirmation"</t>
  </si>
  <si>
    <t xml:space="preserve">BETA UAT - 03/08 - ANO - Affichage Restaurant/Drinks/Event basé sur la position actuelle de l'utilisateur au lieu de "All cities" </t>
  </si>
  <si>
    <t>BETA UAT - 03/08 - ANO - Affichage Restaurant/Drinks/Event : Affichage des noms incohérent d'un venue à un autre - Ajuster le nom du venue en fonction de la taille du nom</t>
  </si>
  <si>
    <t xml:space="preserve">BETA UAT - 03/08 - ANO - Rating : Avis - non linké </t>
  </si>
  <si>
    <t xml:space="preserve">BETA UAT - 03/08 - CHG - Profil utilisateur : nombre d'avis à ajouter </t>
  </si>
  <si>
    <t xml:space="preserve">BETA UAT - 03/08 - ANO - Event _ ecran code QR _ impossibilité de sortir de l'ecran </t>
  </si>
  <si>
    <t xml:space="preserve">BETA UAT - 03/08 - ANO - Event _ achat de ticket mixte VIP et non VIP impossible _ seul les ticket VIP sont achetés </t>
  </si>
  <si>
    <t>BETA UAT - 03/08 - ANO - Event _ Une fois sur l'ecran organisateur, accessible via l'ecran detail de l'evenement, si on fait retour arrière , ca renvoie vers la liste des événement et non l'ecran detail evenement</t>
  </si>
  <si>
    <t>BETA UAT - 06/08 - CHG - Désactivation des rubriques Restau et Dinks pour les besoins de l'évènement de lancement de LYFE</t>
  </si>
  <si>
    <t>BETA UAT - 10/08 - CHG - 3 points sur écran ticket/Code QR - à cacher </t>
  </si>
  <si>
    <t>BETA UAT - 10/08 - CHG - Ecran organisateur event - cacher le coeur pour desactiver le like</t>
  </si>
  <si>
    <t>BETA UAT - 10/08 - CHG - Dashboard Organisateur - quand on clique sur l'evenement pour en afficher le detail, ca renvoie vers l'ecran Life</t>
  </si>
  <si>
    <t>BETA UAT - 10/08 - CHG - Nom de l'évènement à faire apparaitre sur l'ecran detail ticket</t>
  </si>
  <si>
    <t>BETA UAT - 10/08 - ANO - Detail Event - affiche plusieurs ville alors que l'affichage devrait porter sur les villes declarée en BD</t>
  </si>
  <si>
    <t>BETA UAT - 10/08 - ANO - Affichage Events : nom de l'event trop petit par rapport à la normale - à ajuster</t>
  </si>
  <si>
    <t>BETA UAT - 10/08 - ANO - Ecran event - enlever l'espace apres "acheter un ticket" - arreter le scroll</t>
  </si>
  <si>
    <t>BETA UAT - 10/08 _ ANO - Background Event à corriger</t>
  </si>
  <si>
    <t>BETA UAT _ 10/08 - CHG - Adaptation de l'appel à Payzone via redirection sur browser (non communiqué initialement par payzone)</t>
  </si>
  <si>
    <t>BETA UAT - 12/08 - ANO - impossible de sortir de l'ecran billet apres achat - ca reste figé</t>
  </si>
  <si>
    <t>BETA UAT - 12/08 - ANO -  filtres non opérationnels</t>
  </si>
  <si>
    <t>BETA UAT - 16/08 - ANO - gestion des tickets vs max autorisé à acheter par utilisateur*</t>
  </si>
  <si>
    <t>BETA UAT - 16/08 - ANO - gestion des tickets rééllement  achetés vs restants à vendre</t>
  </si>
  <si>
    <t>BETA UAT - 16/08 - ANO - quand le stock des ticket est à 0, ca ne doit pas donner la possibilité d'acheter un ticket</t>
  </si>
  <si>
    <t xml:space="preserve">BETA UAT - 22/08 - CHG - l'évènement disparait de l'application au démarrage de l'évènement </t>
  </si>
  <si>
    <t>Changement</t>
  </si>
  <si>
    <t>Site web Events</t>
  </si>
  <si>
    <t xml:space="preserve">en tant que n'importe qui, je peux accéder à un evènement à partir d'un lien publié sur d'autres plateformes (Instagram, FB, ou autres ) et en visualiser le détail </t>
  </si>
  <si>
    <t xml:space="preserve">En tant que n'importe qui, je peux procéder à l'achat d'un ticket de l'evenement consulté </t>
  </si>
  <si>
    <t xml:space="preserve">En tant que n'importe qui, je dois etre obligé de créer un compte ou me connecter sur LYFe pour pouvoir compléter mon achat avec l'action de paiment via Payzone </t>
  </si>
  <si>
    <t xml:space="preserve">En tant que n'importe qui qui crée un compte sur le site web et qui complète l'achat d'un ticket, je dois etre incité à télécharger l'application pour visualiser le code QR du ticket </t>
  </si>
  <si>
    <t>En tant que n'importe qui qui crée un compte sur le site web et qui complète l'achat d'un ticket, le telechargement de l'application, je dois pouvoir etre connecté automatiquement sur l'appli et visualiser le code QR (l'ecran devrait s'afficher en premier)</t>
  </si>
  <si>
    <t>En tant que n'importe qui sur la page de l'evenement X, je dois pouvoir revenir sur la page mère et visualiser la liste des évènements</t>
  </si>
  <si>
    <t xml:space="preserve">En tant que n'importe qui sur la page de l'evenement X, je dois pouvoir afficher la page d'accueil du site officiel de LYFE </t>
  </si>
  <si>
    <t xml:space="preserve">Gestion évènement à 0dh </t>
  </si>
  <si>
    <t xml:space="preserve">en tant qu'organisateur, je dois pouvoir créer un évènement sur la base de la liste des catégorie exstante à 0 dh </t>
  </si>
  <si>
    <t xml:space="preserve">En tant qu'utilisateur, je dois pouvoir acheter un ticket d'un évènement à 0 dh sans avoir à payer quoique ce soit et visualiser mon code QR </t>
  </si>
  <si>
    <t>Ajout des photos au niveau du détail de l'evènement</t>
  </si>
  <si>
    <t>En tant qu'organisateur, je doispouvoir ajouter 5 photos supplémentaires à la photo principale de l'evènement</t>
  </si>
  <si>
    <t>En tant qu'utilisateur, je dois pouvoir visualiser les photos de l'evènement dans le détail de l'evènement</t>
  </si>
  <si>
    <t>Agrandir la police de la description de l'evenement</t>
  </si>
  <si>
    <t xml:space="preserve">En tant qu'utilisateur je dois pouvoir lire la description de l'evènement correctement </t>
  </si>
  <si>
    <t>BETA UAT _ 10/08 - CHG - Ajouter le type de ticket dans l'ecran ticket</t>
  </si>
  <si>
    <t>en tant qu'utilisateur, je dois pouvoir visualiser le type de mon ticket au niveau du code QR</t>
  </si>
  <si>
    <t xml:space="preserve">Changement </t>
  </si>
  <si>
    <t xml:space="preserve">BETA UAT - Mot de passe oublié </t>
  </si>
  <si>
    <t>En tant qu'organisateur, je dos pouvoir récupérer mon mot de passe ou le changer en cas d'oubli pour organisateur</t>
  </si>
  <si>
    <t>BETA UAT - Changement de mot de passe</t>
  </si>
  <si>
    <t xml:space="preserve">En tant qu'utilisateur, je dois avoir la possibilité de changer mon mot de passer comme je veux </t>
  </si>
  <si>
    <t xml:space="preserve">En tant qu'utilisateur, pour un évènement particulier ou seul le tarif partiel est à payer sur l'appli, je dois avoir l'information sur le complément à payer au niveau de l'ecran de reservation </t>
  </si>
  <si>
    <t>Dashboard Organisateur</t>
  </si>
  <si>
    <t>Dashboard Organisateur - Vue d'ensemble</t>
  </si>
  <si>
    <t>Vue d'ensemble :  Graphe</t>
  </si>
  <si>
    <t>Vue d'ensemble : prochain versement</t>
  </si>
  <si>
    <t xml:space="preserve"> Vue d'ensemble : évènements à venir </t>
  </si>
  <si>
    <t>Vue d'ensemble : les activités récentes + actions rapides</t>
  </si>
  <si>
    <t>Dashboard Organisateur - Mes évènements</t>
  </si>
  <si>
    <t>Mes évènements : Suppréssion du bouton Créer un évènement (en double)</t>
  </si>
  <si>
    <t xml:space="preserve">Mes évènements : Revue du listing des évènements selon les statut convenus </t>
  </si>
  <si>
    <t xml:space="preserve">Mes évènements : Vérification des informations affichées pour chaque évènements </t>
  </si>
  <si>
    <t xml:space="preserve">Mes évènements : correction des évènements en cas de refus modérateur et resoumission </t>
  </si>
  <si>
    <t>Dashboard Organisateur - Détail évènement</t>
  </si>
  <si>
    <t>Détail evènement : listing des ventes</t>
  </si>
  <si>
    <t xml:space="preserve">Détail évènements : Listing des participants </t>
  </si>
  <si>
    <t xml:space="preserve">Dashboard Organisateur - Authentification Organisateur </t>
  </si>
  <si>
    <t>Authentification organisateur et création de compte</t>
  </si>
  <si>
    <t xml:space="preserve">Gestion profil organisateur et compléter profill </t>
  </si>
  <si>
    <t>Dashboard Organisateur - Réglages</t>
  </si>
  <si>
    <t>Section admin "Réglage" - Renomer zone dangereuse par "Suppression de compte"</t>
  </si>
  <si>
    <t>Dashboard Organisateur - Créer un évènement</t>
  </si>
  <si>
    <t>Création d'évènement : modification de l'ecran et ajout des section demandées (gestion des catégories + adresse + Section photos )</t>
  </si>
  <si>
    <t>Dashboard Organisateur - Rechercher un évènement</t>
  </si>
  <si>
    <t xml:space="preserve">Recherche évènement </t>
  </si>
  <si>
    <t>Détail Evènement : gestion des invitations</t>
  </si>
  <si>
    <t>Dashboard Organisateur - Bilan</t>
  </si>
  <si>
    <t>Bilan par évènement</t>
  </si>
  <si>
    <t>Bilan par organisateur</t>
  </si>
  <si>
    <t>Dashboard Organisateur - Code promo</t>
  </si>
  <si>
    <t>Dashboard Organisateur - Versements</t>
  </si>
  <si>
    <t xml:space="preserve">Gestion des versements </t>
  </si>
  <si>
    <t>Dashboard Organisateur - Audience et visibilité</t>
  </si>
  <si>
    <t>Audience &amp; visiilité</t>
  </si>
  <si>
    <t>Dashboard Organisateur - gestion équipe</t>
  </si>
  <si>
    <t xml:space="preserve">Gestion équipe </t>
  </si>
  <si>
    <t>Dashboard Organisateur - remboursement</t>
  </si>
  <si>
    <t>Gestion des remboursements</t>
  </si>
  <si>
    <t>Dashboard Organisateur- support</t>
  </si>
  <si>
    <t>Support</t>
  </si>
  <si>
    <t xml:space="preserve">Détail Evènement : Régie +Boost + promouvoir </t>
  </si>
  <si>
    <t>Section Reglages : préférences de boost</t>
  </si>
  <si>
    <t>Zone dangereuse : rejouer onboarding à supprimer</t>
  </si>
  <si>
    <t xml:space="preserve">Préférence de boost à griser pour l'instant </t>
  </si>
  <si>
    <t>Dashboard Event</t>
  </si>
  <si>
    <t>toutes les rubriques doivent etre visibles mais les écrans doivent comprendre la mention "Coming Soon", 
Les rubriques concernées : Bilans + Audiences + Visibilité + Support + Code promo + Versement + Invitation + Boost et promotion + Remboursement + support + régie</t>
  </si>
  <si>
    <t>Dashboard Restaurant  - Code promo</t>
  </si>
  <si>
    <t>Dashboard Drinks - Code promo</t>
  </si>
  <si>
    <t>Fonctionnalité de reservation via API - Suite</t>
  </si>
  <si>
    <t>Phase</t>
  </si>
  <si>
    <t>BETA</t>
  </si>
  <si>
    <t>MVP</t>
  </si>
  <si>
    <t>Events</t>
  </si>
  <si>
    <t>BETA +</t>
  </si>
  <si>
    <t>EVENTS</t>
  </si>
  <si>
    <t>Nouveau Sprint 092026</t>
  </si>
  <si>
    <t>sprint 2</t>
  </si>
  <si>
    <t>Sprint 2</t>
  </si>
  <si>
    <t xml:space="preserve">SP-Prio 02 </t>
  </si>
  <si>
    <t>Sprint 3</t>
  </si>
  <si>
    <t>sprint 6</t>
  </si>
  <si>
    <t>Sprint 6bis</t>
  </si>
  <si>
    <t>sprint 1</t>
  </si>
  <si>
    <t>SP-Prio 04</t>
  </si>
  <si>
    <t>SP-Prio 10</t>
  </si>
  <si>
    <t>SP-Prio 05</t>
  </si>
  <si>
    <t>SP-Prio 09</t>
  </si>
  <si>
    <t>Sprint 6</t>
  </si>
  <si>
    <t>SP-Prio 01</t>
  </si>
  <si>
    <t>Sprint 5</t>
  </si>
  <si>
    <t>SP-Prio 08</t>
  </si>
  <si>
    <t>BETA UAT 1</t>
  </si>
  <si>
    <t>Sprint 6+</t>
  </si>
  <si>
    <t>SP-Prio 11</t>
  </si>
  <si>
    <t>SP-Prio 03</t>
  </si>
  <si>
    <t>SP-Prio 06</t>
  </si>
  <si>
    <t>Amélioration</t>
  </si>
  <si>
    <t>Sprint TBD</t>
  </si>
  <si>
    <t>SP-Prio 07</t>
  </si>
  <si>
    <t>Statut</t>
  </si>
  <si>
    <t>Done</t>
  </si>
  <si>
    <t>En cours</t>
  </si>
  <si>
    <t>A faire</t>
  </si>
  <si>
    <t>done</t>
  </si>
  <si>
    <t>Reporté</t>
  </si>
  <si>
    <t xml:space="preserve">En cours </t>
  </si>
  <si>
    <t>EP00-US01</t>
  </si>
  <si>
    <t>Sprint 0</t>
  </si>
  <si>
    <t>EP00-US02</t>
  </si>
  <si>
    <t>EP00-US03</t>
  </si>
  <si>
    <t>EP01-US01</t>
  </si>
  <si>
    <t>EP01-US02</t>
  </si>
  <si>
    <t>EP01-US03</t>
  </si>
  <si>
    <t>EP02-US01</t>
  </si>
  <si>
    <t>EP02-US02</t>
  </si>
  <si>
    <t>EP02-US03</t>
  </si>
  <si>
    <t>EP02-US05</t>
  </si>
  <si>
    <t>EP02-US06</t>
  </si>
  <si>
    <t>EP03-US01</t>
  </si>
  <si>
    <t>EP03-US02</t>
  </si>
  <si>
    <t>EP03-US03</t>
  </si>
  <si>
    <t>EP03-US04</t>
  </si>
  <si>
    <t>EP03-US05</t>
  </si>
  <si>
    <t>EP03-US06</t>
  </si>
  <si>
    <t>EP04-US01</t>
  </si>
  <si>
    <t>EP04-US02</t>
  </si>
  <si>
    <t>EP04-US03</t>
  </si>
  <si>
    <t>EP04-US04</t>
  </si>
  <si>
    <t>EP04-US05</t>
  </si>
  <si>
    <t>EP04-US06</t>
  </si>
  <si>
    <t>EP05-US01</t>
  </si>
  <si>
    <t>EP05-US02</t>
  </si>
  <si>
    <t>EP06-US01</t>
  </si>
  <si>
    <t>EP06-US02</t>
  </si>
  <si>
    <t>EP06-US03</t>
  </si>
  <si>
    <t>EP06-US04</t>
  </si>
  <si>
    <t>EP06-US05</t>
  </si>
  <si>
    <t>EP06-US06</t>
  </si>
  <si>
    <t>EP06-US07</t>
  </si>
  <si>
    <t>EP06-US08</t>
  </si>
  <si>
    <t>EP07-US01</t>
  </si>
  <si>
    <t>EP07-US02</t>
  </si>
  <si>
    <t>EP07-US03</t>
  </si>
  <si>
    <t>EP07-US04</t>
  </si>
  <si>
    <t>EP07-US05</t>
  </si>
  <si>
    <t>EP07-US06</t>
  </si>
  <si>
    <t>EP07-US07</t>
  </si>
  <si>
    <t>EP07-US08</t>
  </si>
  <si>
    <t>EP07-US09</t>
  </si>
  <si>
    <t>EP09-US01</t>
  </si>
  <si>
    <t>EP09-US02</t>
  </si>
  <si>
    <t>EP09-US05</t>
  </si>
  <si>
    <t>EP09-US06</t>
  </si>
  <si>
    <t>EP09-US07</t>
  </si>
  <si>
    <t>EP09-US08</t>
  </si>
  <si>
    <t>EP09-US09</t>
  </si>
  <si>
    <t>EP11-US01</t>
  </si>
  <si>
    <t>EP11-US02</t>
  </si>
  <si>
    <t>EP11-US03</t>
  </si>
  <si>
    <t>EP11-US04</t>
  </si>
  <si>
    <t>EP11-US05</t>
  </si>
  <si>
    <t>EP11-US06</t>
  </si>
  <si>
    <t>EP11-US07</t>
  </si>
  <si>
    <t>EP11-US08</t>
  </si>
  <si>
    <t>EP11-US09</t>
  </si>
  <si>
    <t>EP11-US10</t>
  </si>
  <si>
    <t>EP11-US11</t>
  </si>
  <si>
    <t>EP11-US12</t>
  </si>
  <si>
    <t>EP12-US01</t>
  </si>
  <si>
    <t>EP12-US02</t>
  </si>
  <si>
    <t>EP12-US03</t>
  </si>
  <si>
    <t>EP12-US04</t>
  </si>
  <si>
    <t>EP12-US05</t>
  </si>
  <si>
    <t>EP12-US06</t>
  </si>
  <si>
    <t>EP12-US07</t>
  </si>
  <si>
    <t>EP12-US08</t>
  </si>
  <si>
    <t>EP13-US01</t>
  </si>
  <si>
    <t>EP13-US02</t>
  </si>
  <si>
    <t>EP13-US05</t>
  </si>
  <si>
    <t>EP13-US06</t>
  </si>
  <si>
    <t>EP13-US07</t>
  </si>
  <si>
    <t>EP13-US08</t>
  </si>
  <si>
    <t>EP13-US09</t>
  </si>
  <si>
    <t>EP15-US01</t>
  </si>
  <si>
    <t>EP15-US02</t>
  </si>
  <si>
    <t>EP15-US03</t>
  </si>
  <si>
    <t>EP15-US04</t>
  </si>
  <si>
    <t>EP15-US06</t>
  </si>
  <si>
    <t>EP16-US01</t>
  </si>
  <si>
    <t>EP16-US03</t>
  </si>
  <si>
    <t>EP16-US05</t>
  </si>
  <si>
    <t>EP17-US01</t>
  </si>
  <si>
    <t>EP17-US02</t>
  </si>
  <si>
    <t>EP17-US04</t>
  </si>
  <si>
    <t>EP17-US06</t>
  </si>
  <si>
    <t>EP17-US07</t>
  </si>
  <si>
    <t>EP17-US09</t>
  </si>
  <si>
    <t>EP19-US01</t>
  </si>
  <si>
    <t>EP19-US02</t>
  </si>
  <si>
    <t>EP19-US03</t>
  </si>
  <si>
    <t>EP19-US04</t>
  </si>
  <si>
    <t>EP19-US05</t>
  </si>
  <si>
    <t>EP19-US06</t>
  </si>
  <si>
    <t>EP20-US01</t>
  </si>
  <si>
    <t>EP20-US02</t>
  </si>
  <si>
    <t>EP20-US03</t>
  </si>
  <si>
    <t>EP20-US04</t>
  </si>
  <si>
    <t>EP20-US05</t>
  </si>
  <si>
    <t>EP20-US06bis</t>
  </si>
  <si>
    <t>EP20-US07</t>
  </si>
  <si>
    <t>EP20-US08</t>
  </si>
  <si>
    <t>EP20-US10</t>
  </si>
  <si>
    <t>EP20-US12</t>
  </si>
  <si>
    <t>EP23-US01</t>
  </si>
  <si>
    <t>EP23-US02</t>
  </si>
  <si>
    <t>EP23-US03</t>
  </si>
  <si>
    <t>EP23-US04</t>
  </si>
  <si>
    <t>EP23-US05</t>
  </si>
  <si>
    <t>EP23-US06</t>
  </si>
  <si>
    <t>EP23-US08</t>
  </si>
  <si>
    <t>EP23-US09</t>
  </si>
  <si>
    <t>EP23-US10</t>
  </si>
  <si>
    <t>EP24-US02</t>
  </si>
  <si>
    <t>EP24-US03</t>
  </si>
  <si>
    <t>EP26-US02</t>
  </si>
  <si>
    <t>EP28-US01</t>
  </si>
  <si>
    <t>EP28-US02</t>
  </si>
  <si>
    <t>EP28-US03</t>
  </si>
  <si>
    <t>EP28-US04</t>
  </si>
  <si>
    <t>EP28-US05</t>
  </si>
  <si>
    <t>EP28-US06</t>
  </si>
  <si>
    <t>EP28-US07</t>
  </si>
  <si>
    <t>EP28-US08</t>
  </si>
  <si>
    <t>EP28-US09</t>
  </si>
  <si>
    <t>EP29-US01</t>
  </si>
  <si>
    <t>EP29-US02</t>
  </si>
  <si>
    <t>EP29-US03</t>
  </si>
  <si>
    <t>EP40-US03</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</si>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</sst>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 #,##0.00_-;_-* &quot;-&quot;??_-;_-@_-"/>
  </numFmts>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color rgb="FFFF0000"/>
      <name val="Calibri"/>
      <family val="2"/>
      <scheme val="minor"/>
    </font>
    <font>
      <sz val="11"/>
      <color rgb="FFFF0000"/>
      <name val="Calibri"/>
      <family val="2"/>
      <scheme val="minor"/>
    </font>
    <font>
      <b/>
      <u/>
      <sz val="11"/>
      <color theme="1"/>
      <name val="Calibri"/>
      <family val="2"/>
      <scheme val="minor"/>
    </font>
    <font>
      <b/>
      <sz val="11"/>
      <name val="Calibri"/>
      <family val="2"/>
      <scheme val="minor"/>
    </font>
    <font>
      <b/>
      <sz val="9"/>
      <name val="Tahoma"/>
      <family val="2"/>
    </font>
    <font>
      <sz val="9"/>
      <name val="Tahoma"/>
      <family val="2"/>
    </font>
    <font>
      <sz val="11"/>
      <color theme="1" tint="4.9989318521683403E-2"/>
      <name val="Calibri"/>
      <family val="2"/>
      <scheme val="minor"/>
    </font>
    <font>
      <b/>
      <sz val="11"/>
      <color theme="5"/>
      <name val="Calibri"/>
      <family val="2"/>
      <scheme val="minor"/>
    </font>
  </fonts>
  <fills count="8">
    <fill>
      <patternFill patternType="none"/>
    </fill>
    <fill>
      <patternFill patternType="gray125"/>
    </fill>
    <fill>
      <patternFill patternType="solid">
        <fgColor theme="8"/>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4"/>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style="thin">
        <color theme="4" tint="0.39997558519241921"/>
      </bottom>
      <diagonal/>
    </border>
    <border>
      <left/>
      <right/>
      <top style="thin">
        <color theme="4" tint="0.39997558519241921"/>
      </top>
      <bottom style="thin">
        <color theme="4" tint="0.39997558519241921"/>
      </bottom>
      <diagonal/>
    </border>
    <border>
      <left style="thin">
        <color theme="2" tint="-9.9978637043366805E-2"/>
      </left>
      <right/>
      <top style="thin">
        <color theme="2" tint="-9.9978637043366805E-2"/>
      </top>
      <bottom style="thin">
        <color theme="4" tint="0.39997558519241921"/>
      </bottom>
      <diagonal/>
    </border>
    <border>
      <left style="thin">
        <color theme="2" tint="-9.9978637043366805E-2"/>
      </left>
      <right/>
      <top style="thin">
        <color theme="2" tint="-9.9978637043366805E-2"/>
      </top>
      <bottom style="thin">
        <color theme="2" tint="-9.9978637043366805E-2"/>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17">
    <xf numFmtId="0" fontId="0" fillId="0" borderId="0" xfId="0"/>
    <xf numFmtId="164" fontId="0" fillId="0" borderId="0" xfId="1" applyFont="1"/>
    <xf numFmtId="0" fontId="0" fillId="0" borderId="0" xfId="0" applyAlignment="1">
      <alignment vertical="center" wrapText="1"/>
    </xf>
    <xf numFmtId="0" fontId="0" fillId="0" borderId="0" xfId="0" applyAlignment="1">
      <alignment horizontal="left"/>
    </xf>
    <xf numFmtId="0" fontId="0" fillId="0" borderId="1" xfId="0" applyBorder="1" applyAlignment="1">
      <alignment horizontal="center" vertical="center" wrapText="1"/>
    </xf>
    <xf numFmtId="0" fontId="0" fillId="0" borderId="1" xfId="0" applyBorder="1"/>
    <xf numFmtId="0" fontId="2" fillId="3" borderId="0" xfId="0" applyFont="1" applyFill="1"/>
    <xf numFmtId="164" fontId="2" fillId="3" borderId="0" xfId="1" applyFont="1" applyFill="1"/>
    <xf numFmtId="10" fontId="2" fillId="3" borderId="0" xfId="2" applyNumberFormat="1" applyFont="1" applyFill="1"/>
    <xf numFmtId="0" fontId="0" fillId="0" borderId="1" xfId="0" applyBorder="1" applyAlignment="1">
      <alignment horizontal="center" wrapText="1"/>
    </xf>
    <xf numFmtId="0" fontId="0" fillId="0" borderId="0" xfId="0" applyBorder="1" applyAlignment="1">
      <alignment horizontal="left"/>
    </xf>
    <xf numFmtId="0" fontId="3" fillId="4" borderId="0"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4" fillId="0" borderId="0" xfId="0" applyFont="1"/>
    <xf numFmtId="0" fontId="3" fillId="0" borderId="0" xfId="0" applyFont="1" applyAlignment="1">
      <alignment vertical="center" wrapText="1"/>
    </xf>
    <xf numFmtId="14" fontId="3" fillId="0" borderId="0" xfId="0" applyNumberFormat="1" applyFont="1" applyAlignment="1">
      <alignment vertical="center"/>
    </xf>
    <xf numFmtId="14" fontId="3" fillId="4" borderId="8" xfId="0" applyNumberFormat="1" applyFont="1" applyFill="1" applyBorder="1" applyAlignment="1">
      <alignment horizontal="center"/>
    </xf>
    <xf numFmtId="0" fontId="0" fillId="0" borderId="1" xfId="0" applyBorder="1" applyAlignment="1">
      <alignment horizontal="left"/>
    </xf>
    <xf numFmtId="0" fontId="2" fillId="2" borderId="1" xfId="0" applyFont="1" applyFill="1" applyBorder="1" applyAlignment="1">
      <alignment horizontal="right"/>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3" fillId="4" borderId="0" xfId="0" applyFont="1" applyFill="1" applyBorder="1" applyAlignment="1">
      <alignment horizontal="center" vertical="center" wrapText="1"/>
    </xf>
    <xf numFmtId="0" fontId="0" fillId="0" borderId="0" xfId="0" applyFill="1" applyAlignment="1">
      <alignment horizontal="left" wrapText="1"/>
    </xf>
    <xf numFmtId="0" fontId="0" fillId="0" borderId="0" xfId="0" applyFill="1" applyAlignment="1">
      <alignment horizontal="left" vertical="center" wrapText="1"/>
    </xf>
    <xf numFmtId="0" fontId="0" fillId="0" borderId="0" xfId="0" applyFill="1"/>
    <xf numFmtId="0" fontId="0" fillId="0" borderId="0" xfId="0" applyFill="1" applyAlignment="1">
      <alignment vertical="center" wrapText="1"/>
    </xf>
    <xf numFmtId="0" fontId="0" fillId="0" borderId="0" xfId="0" applyFill="1" applyAlignment="1">
      <alignment vertical="center"/>
    </xf>
    <xf numFmtId="0" fontId="0" fillId="0" borderId="9" xfId="0" applyBorder="1"/>
    <xf numFmtId="0" fontId="7" fillId="6" borderId="10" xfId="0" applyFont="1" applyFill="1" applyBorder="1" applyAlignment="1">
      <alignment vertical="center" wrapText="1"/>
    </xf>
    <xf numFmtId="0" fontId="7" fillId="0" borderId="9" xfId="0" applyFont="1" applyBorder="1" applyAlignment="1">
      <alignment vertical="center" wrapText="1"/>
    </xf>
    <xf numFmtId="0" fontId="7" fillId="7" borderId="9" xfId="0" applyFont="1" applyFill="1" applyBorder="1" applyAlignment="1">
      <alignment vertical="center" wrapText="1"/>
    </xf>
    <xf numFmtId="0" fontId="7" fillId="0" borderId="9" xfId="0" applyFont="1" applyFill="1" applyBorder="1" applyAlignment="1">
      <alignment vertical="center" wrapText="1"/>
    </xf>
    <xf numFmtId="0" fontId="7" fillId="0" borderId="0" xfId="0" applyFont="1" applyFill="1" applyBorder="1" applyAlignment="1">
      <alignment vertical="center" wrapText="1"/>
    </xf>
    <xf numFmtId="0" fontId="1" fillId="0" borderId="0" xfId="0" applyFont="1" applyFill="1" applyBorder="1" applyAlignment="1">
      <alignment vertical="center" wrapText="1"/>
    </xf>
    <xf numFmtId="0" fontId="1" fillId="7" borderId="0" xfId="0" applyFont="1" applyFill="1" applyBorder="1" applyAlignment="1">
      <alignment vertical="center" wrapText="1"/>
    </xf>
    <xf numFmtId="0" fontId="1" fillId="5" borderId="0" xfId="0" applyFont="1" applyFill="1" applyBorder="1" applyAlignment="1">
      <alignment vertical="center" wrapText="1"/>
    </xf>
    <xf numFmtId="0" fontId="0" fillId="0" borderId="0" xfId="0" applyFont="1" applyFill="1" applyBorder="1" applyAlignment="1">
      <alignment vertical="center" wrapText="1"/>
    </xf>
    <xf numFmtId="0" fontId="0" fillId="0" borderId="11" xfId="0" applyFill="1" applyBorder="1" applyAlignment="1">
      <alignment vertical="center" wrapText="1"/>
    </xf>
    <xf numFmtId="0" fontId="0" fillId="0" borderId="9" xfId="0" applyBorder="1" applyAlignment="1">
      <alignment vertical="center" wrapText="1"/>
    </xf>
    <xf numFmtId="0" fontId="0" fillId="5" borderId="9" xfId="0" applyFill="1" applyBorder="1" applyAlignment="1">
      <alignment vertical="center" wrapText="1"/>
    </xf>
    <xf numFmtId="0" fontId="0" fillId="7" borderId="0" xfId="0" applyFill="1" applyAlignment="1">
      <alignment vertical="center" wrapText="1"/>
    </xf>
    <xf numFmtId="0" fontId="0" fillId="0" borderId="9" xfId="0" applyFill="1" applyBorder="1"/>
    <xf numFmtId="0" fontId="0" fillId="0" borderId="11" xfId="0" applyFill="1" applyBorder="1"/>
    <xf numFmtId="0" fontId="0" fillId="7" borderId="11" xfId="0" applyFill="1" applyBorder="1"/>
    <xf numFmtId="0" fontId="0" fillId="5" borderId="11" xfId="0" applyFill="1" applyBorder="1"/>
    <xf numFmtId="0" fontId="0" fillId="0" borderId="0" xfId="0" applyFont="1" applyFill="1" applyBorder="1"/>
    <xf numFmtId="10" fontId="0" fillId="0" borderId="9" xfId="2" applyNumberFormat="1" applyFont="1" applyBorder="1" applyAlignment="1">
      <alignment wrapText="1"/>
    </xf>
    <xf numFmtId="0" fontId="7" fillId="6" borderId="10" xfId="0" applyFont="1" applyFill="1" applyBorder="1" applyAlignment="1">
      <alignment horizontal="center" vertical="center" wrapText="1"/>
    </xf>
    <xf numFmtId="0" fontId="7" fillId="0" borderId="9" xfId="0" applyFont="1" applyBorder="1" applyAlignment="1">
      <alignment horizontal="center" vertical="center" wrapText="1"/>
    </xf>
    <xf numFmtId="0" fontId="1" fillId="0" borderId="9" xfId="0" applyFont="1" applyBorder="1" applyAlignment="1">
      <alignment vertical="center" wrapText="1"/>
    </xf>
    <xf numFmtId="0" fontId="1" fillId="5" borderId="9" xfId="0" applyFont="1" applyFill="1" applyBorder="1" applyAlignment="1">
      <alignment vertical="center" wrapText="1"/>
    </xf>
    <xf numFmtId="0" fontId="1" fillId="0" borderId="0" xfId="0" applyFont="1" applyAlignment="1">
      <alignment vertical="center" wrapText="1"/>
    </xf>
    <xf numFmtId="0" fontId="3" fillId="7" borderId="0" xfId="0" applyFont="1" applyFill="1" applyAlignment="1">
      <alignment vertical="center" wrapText="1"/>
    </xf>
    <xf numFmtId="0" fontId="7" fillId="0" borderId="9" xfId="0" applyFont="1" applyFill="1" applyBorder="1" applyAlignment="1">
      <alignment horizontal="center" vertical="center" wrapText="1"/>
    </xf>
    <xf numFmtId="0" fontId="0" fillId="0" borderId="9" xfId="0" applyBorder="1" applyAlignment="1">
      <alignment wrapText="1"/>
    </xf>
    <xf numFmtId="0" fontId="0" fillId="0" borderId="9" xfId="0" applyFill="1" applyBorder="1" applyAlignment="1">
      <alignment wrapText="1"/>
    </xf>
    <xf numFmtId="0" fontId="0" fillId="0" borderId="11" xfId="0" applyFill="1" applyBorder="1" applyAlignment="1">
      <alignment wrapText="1"/>
    </xf>
    <xf numFmtId="0" fontId="3" fillId="0" borderId="11" xfId="0" applyFont="1" applyFill="1" applyBorder="1" applyAlignment="1">
      <alignment vertical="center" wrapText="1"/>
    </xf>
    <xf numFmtId="0" fontId="1" fillId="0" borderId="11" xfId="0" applyFont="1" applyFill="1" applyBorder="1" applyAlignment="1">
      <alignment wrapText="1"/>
    </xf>
    <xf numFmtId="0" fontId="3" fillId="5" borderId="11" xfId="0" applyFont="1" applyFill="1" applyBorder="1" applyAlignment="1">
      <alignment vertical="center" wrapText="1"/>
    </xf>
    <xf numFmtId="0" fontId="0" fillId="5" borderId="11" xfId="0" applyFill="1" applyBorder="1" applyAlignment="1">
      <alignment wrapText="1"/>
    </xf>
    <xf numFmtId="0" fontId="3" fillId="0" borderId="9" xfId="0" applyFont="1" applyFill="1" applyBorder="1" applyAlignment="1">
      <alignment vertical="center" wrapText="1"/>
    </xf>
    <xf numFmtId="0" fontId="3" fillId="0" borderId="0" xfId="0" applyFont="1" applyFill="1" applyBorder="1" applyAlignment="1">
      <alignment vertical="center" wrapText="1"/>
    </xf>
    <xf numFmtId="0" fontId="0" fillId="0" borderId="0" xfId="0" applyFont="1" applyFill="1" applyBorder="1" applyAlignment="1">
      <alignment wrapText="1"/>
    </xf>
    <xf numFmtId="0" fontId="3" fillId="0" borderId="13" xfId="0" applyFont="1" applyFill="1" applyBorder="1" applyAlignment="1">
      <alignment vertical="center" wrapText="1"/>
    </xf>
    <xf numFmtId="0" fontId="10" fillId="0" borderId="0" xfId="0" applyFont="1" applyAlignment="1">
      <alignment vertical="center" wrapText="1"/>
    </xf>
    <xf numFmtId="0" fontId="0" fillId="0" borderId="11" xfId="0" applyNumberFormat="1" applyBorder="1" applyAlignment="1">
      <alignment vertical="center" wrapText="1"/>
    </xf>
    <xf numFmtId="0" fontId="0" fillId="0" borderId="9" xfId="0" applyNumberFormat="1" applyFill="1" applyBorder="1" applyAlignment="1">
      <alignment vertical="center" wrapText="1"/>
    </xf>
    <xf numFmtId="0" fontId="0" fillId="5" borderId="11" xfId="0" applyFill="1" applyBorder="1" applyAlignment="1">
      <alignment vertical="center" wrapText="1"/>
    </xf>
    <xf numFmtId="0" fontId="0" fillId="0" borderId="9" xfId="0" applyFill="1" applyBorder="1" applyAlignment="1">
      <alignment vertical="center" wrapText="1"/>
    </xf>
    <xf numFmtId="164" fontId="0" fillId="0" borderId="9" xfId="1" applyFont="1" applyBorder="1"/>
    <xf numFmtId="0" fontId="0" fillId="0" borderId="11" xfId="0" applyNumberFormat="1" applyFill="1" applyBorder="1" applyAlignment="1">
      <alignment vertical="center" wrapText="1"/>
    </xf>
    <xf numFmtId="0" fontId="1" fillId="0" borderId="11" xfId="0" applyNumberFormat="1" applyFont="1" applyFill="1" applyBorder="1" applyAlignment="1">
      <alignment vertical="center" wrapText="1"/>
    </xf>
    <xf numFmtId="0" fontId="0" fillId="0" borderId="11" xfId="0" applyBorder="1" applyAlignment="1">
      <alignment vertical="center" wrapText="1"/>
    </xf>
    <xf numFmtId="0" fontId="1" fillId="0" borderId="11" xfId="0" applyFont="1" applyBorder="1" applyAlignment="1">
      <alignment vertical="center" wrapText="1"/>
    </xf>
    <xf numFmtId="0" fontId="1" fillId="0" borderId="11" xfId="0" applyNumberFormat="1" applyFont="1" applyBorder="1" applyAlignment="1">
      <alignment vertical="center" wrapText="1"/>
    </xf>
    <xf numFmtId="0" fontId="0" fillId="5" borderId="11" xfId="0" applyNumberFormat="1" applyFill="1" applyBorder="1" applyAlignment="1">
      <alignment vertical="center" wrapText="1"/>
    </xf>
    <xf numFmtId="0" fontId="1" fillId="0" borderId="11" xfId="0" applyFont="1" applyFill="1" applyBorder="1" applyAlignment="1">
      <alignment vertical="center" wrapText="1"/>
    </xf>
    <xf numFmtId="0" fontId="1" fillId="7" borderId="9" xfId="0" applyFont="1" applyFill="1" applyBorder="1" applyAlignment="1">
      <alignment vertical="center" wrapText="1"/>
    </xf>
    <xf numFmtId="0" fontId="1" fillId="5" borderId="11" xfId="0" applyFont="1" applyFill="1" applyBorder="1" applyAlignment="1">
      <alignment vertical="center" wrapText="1"/>
    </xf>
    <xf numFmtId="0" fontId="1" fillId="7" borderId="11" xfId="0" applyFont="1" applyFill="1" applyBorder="1" applyAlignment="1">
      <alignment vertical="center" wrapText="1"/>
    </xf>
    <xf numFmtId="0" fontId="1" fillId="0" borderId="9" xfId="0" applyFont="1" applyFill="1" applyBorder="1" applyAlignment="1">
      <alignment vertical="center" wrapText="1"/>
    </xf>
    <xf numFmtId="0" fontId="1" fillId="0" borderId="15" xfId="0" applyFont="1" applyFill="1" applyBorder="1" applyAlignment="1">
      <alignment vertical="center" wrapText="1"/>
    </xf>
    <xf numFmtId="0" fontId="0" fillId="0" borderId="11" xfId="0" applyFont="1" applyFill="1" applyBorder="1" applyAlignment="1">
      <alignment vertical="center" wrapText="1"/>
    </xf>
    <xf numFmtId="0" fontId="3" fillId="0" borderId="0" xfId="0" applyFont="1" applyFill="1" applyAlignment="1">
      <alignment vertical="center" wrapText="1"/>
    </xf>
    <xf numFmtId="0" fontId="0" fillId="0" borderId="0" xfId="0" applyNumberFormat="1" applyFill="1"/>
    <xf numFmtId="0" fontId="5" fillId="0" borderId="0" xfId="0" applyFont="1" applyFill="1" applyAlignment="1">
      <alignment vertical="center" wrapText="1"/>
    </xf>
    <xf numFmtId="0" fontId="0" fillId="0" borderId="0" xfId="0" applyFill="1" applyBorder="1"/>
    <xf numFmtId="0" fontId="0" fillId="0" borderId="9" xfId="0" applyFont="1" applyFill="1" applyBorder="1" applyAlignment="1">
      <alignment vertical="center" wrapText="1"/>
    </xf>
    <xf numFmtId="0" fontId="0" fillId="0" borderId="9" xfId="0" applyFont="1" applyFill="1" applyBorder="1"/>
    <xf numFmtId="0" fontId="0" fillId="0" borderId="13" xfId="0" applyFill="1" applyBorder="1"/>
    <xf numFmtId="0" fontId="7" fillId="0" borderId="11" xfId="0" applyFont="1" applyFill="1" applyBorder="1" applyAlignment="1">
      <alignment vertical="center" wrapText="1"/>
    </xf>
    <xf numFmtId="0" fontId="0" fillId="0" borderId="13" xfId="0" applyFill="1" applyBorder="1" applyAlignment="1">
      <alignment vertical="center" wrapText="1"/>
    </xf>
    <xf numFmtId="0" fontId="0" fillId="0" borderId="12" xfId="0" applyFill="1" applyBorder="1" applyAlignment="1">
      <alignment vertical="center" wrapText="1"/>
    </xf>
    <xf numFmtId="0" fontId="0" fillId="0" borderId="0" xfId="0" applyFill="1" applyBorder="1" applyAlignment="1">
      <alignment vertical="center" wrapText="1"/>
    </xf>
    <xf numFmtId="0" fontId="7" fillId="0" borderId="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3" fillId="0" borderId="12" xfId="0" applyFont="1" applyFill="1" applyBorder="1" applyAlignment="1">
      <alignment vertical="center" wrapText="1"/>
    </xf>
    <xf numFmtId="0" fontId="0" fillId="0" borderId="0" xfId="0" applyFill="1" applyBorder="1" applyAlignment="1">
      <alignment wrapText="1"/>
    </xf>
    <xf numFmtId="0" fontId="1" fillId="0" borderId="0" xfId="0" applyFont="1" applyFill="1" applyBorder="1" applyAlignment="1">
      <alignment wrapText="1"/>
    </xf>
    <xf numFmtId="0" fontId="0" fillId="0" borderId="13" xfId="0" applyFill="1" applyBorder="1" applyAlignment="1">
      <alignment wrapText="1"/>
    </xf>
    <xf numFmtId="0" fontId="0" fillId="0" borderId="11" xfId="0" applyNumberFormat="1" applyFill="1" applyBorder="1"/>
    <xf numFmtId="0" fontId="0" fillId="0" borderId="0" xfId="0" applyNumberFormat="1" applyFill="1" applyBorder="1" applyAlignment="1">
      <alignment vertical="center" wrapText="1"/>
    </xf>
    <xf numFmtId="0" fontId="0" fillId="0" borderId="9" xfId="0" applyNumberFormat="1" applyFill="1" applyBorder="1"/>
    <xf numFmtId="0" fontId="1" fillId="0" borderId="11" xfId="0" applyNumberFormat="1" applyFont="1" applyFill="1" applyBorder="1"/>
    <xf numFmtId="0" fontId="1" fillId="0" borderId="9" xfId="0" applyNumberFormat="1" applyFont="1" applyFill="1" applyBorder="1" applyAlignment="1">
      <alignment vertical="center" wrapText="1"/>
    </xf>
    <xf numFmtId="0" fontId="1" fillId="0" borderId="11" xfId="0" applyFont="1" applyFill="1" applyBorder="1" applyAlignment="1">
      <alignment horizontal="left"/>
    </xf>
    <xf numFmtId="0" fontId="0" fillId="0" borderId="11" xfId="0" applyFill="1" applyBorder="1" applyAlignment="1">
      <alignment horizontal="left"/>
    </xf>
    <xf numFmtId="0" fontId="0" fillId="0" borderId="15" xfId="0" applyFill="1" applyBorder="1" applyAlignment="1">
      <alignment vertical="center" wrapText="1"/>
    </xf>
    <xf numFmtId="0" fontId="0" fillId="0" borderId="14" xfId="0" applyFill="1" applyBorder="1" applyAlignment="1">
      <alignment vertical="center" wrapText="1"/>
    </xf>
    <xf numFmtId="0" fontId="11" fillId="0" borderId="0" xfId="0" applyFont="1" applyAlignment="1">
      <alignment vertical="center" wrapText="1"/>
    </xf>
    <xf numFmtId="14" fontId="11" fillId="0" borderId="0" xfId="0" applyNumberFormat="1" applyFont="1" applyAlignment="1">
      <alignment vertical="center"/>
    </xf>
  </cellXfs>
  <cellStyles count="3">
    <cellStyle name="Milliers" xfId="1" builtinId="3"/>
    <cellStyle name="Normal" xfId="0" builtinId="0"/>
    <cellStyle name="Pourcentage"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27</xdr:col>
      <xdr:colOff>23430</xdr:colOff>
      <xdr:row>5</xdr:row>
      <xdr:rowOff>472101</xdr:rowOff>
    </xdr:from>
    <xdr:to>
      <xdr:col>27</xdr:col>
      <xdr:colOff>41466</xdr:colOff>
      <xdr:row>32</xdr:row>
      <xdr:rowOff>69244</xdr:rowOff>
    </xdr:to>
    <xdr:cxnSp macro="">
      <xdr:nvCxnSpPr>
        <xdr:cNvPr id="70" name="Connecteur droit 69"/>
        <xdr:cNvCxnSpPr/>
      </xdr:nvCxnSpPr>
      <xdr:spPr>
        <a:xfrm flipH="1">
          <a:off x="21577144" y="1379244"/>
          <a:ext cx="18036" cy="5040000"/>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447017</xdr:colOff>
      <xdr:row>5</xdr:row>
      <xdr:rowOff>476584</xdr:rowOff>
    </xdr:from>
    <xdr:to>
      <xdr:col>18</xdr:col>
      <xdr:colOff>468788</xdr:colOff>
      <xdr:row>32</xdr:row>
      <xdr:rowOff>73727</xdr:rowOff>
    </xdr:to>
    <xdr:cxnSp macro="">
      <xdr:nvCxnSpPr>
        <xdr:cNvPr id="17" name="Connecteur droit 16"/>
        <xdr:cNvCxnSpPr/>
      </xdr:nvCxnSpPr>
      <xdr:spPr>
        <a:xfrm flipH="1">
          <a:off x="14816160" y="1383727"/>
          <a:ext cx="21771" cy="5040000"/>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166163</xdr:colOff>
      <xdr:row>6</xdr:row>
      <xdr:rowOff>39181</xdr:rowOff>
    </xdr:from>
    <xdr:to>
      <xdr:col>3</xdr:col>
      <xdr:colOff>217554</xdr:colOff>
      <xdr:row>32</xdr:row>
      <xdr:rowOff>110038</xdr:rowOff>
    </xdr:to>
    <xdr:pic>
      <xdr:nvPicPr>
        <xdr:cNvPr id="5" name="Image 4"/>
        <xdr:cNvPicPr>
          <a:picLocks noChangeAspect="1"/>
        </xdr:cNvPicPr>
      </xdr:nvPicPr>
      <xdr:blipFill>
        <a:blip xmlns:r="http://schemas.openxmlformats.org/officeDocument/2006/relationships" r:embed="rId1"/>
        <a:stretch>
          <a:fillRect/>
        </a:stretch>
      </xdr:blipFill>
      <xdr:spPr>
        <a:xfrm>
          <a:off x="2561020" y="1127752"/>
          <a:ext cx="51391" cy="4788000"/>
        </a:xfrm>
        <a:prstGeom prst="rect">
          <a:avLst/>
        </a:prstGeom>
      </xdr:spPr>
    </xdr:pic>
    <xdr:clientData/>
  </xdr:twoCellAnchor>
  <xdr:twoCellAnchor>
    <xdr:from>
      <xdr:col>1</xdr:col>
      <xdr:colOff>394335</xdr:colOff>
      <xdr:row>5</xdr:row>
      <xdr:rowOff>524921</xdr:rowOff>
    </xdr:from>
    <xdr:to>
      <xdr:col>1</xdr:col>
      <xdr:colOff>412931</xdr:colOff>
      <xdr:row>32</xdr:row>
      <xdr:rowOff>122064</xdr:rowOff>
    </xdr:to>
    <xdr:cxnSp macro="">
      <xdr:nvCxnSpPr>
        <xdr:cNvPr id="6" name="Connecteur droit 5"/>
        <xdr:cNvCxnSpPr/>
      </xdr:nvCxnSpPr>
      <xdr:spPr>
        <a:xfrm flipH="1">
          <a:off x="1192621" y="1432064"/>
          <a:ext cx="18596" cy="5040000"/>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728382</xdr:colOff>
      <xdr:row>4</xdr:row>
      <xdr:rowOff>4594</xdr:rowOff>
    </xdr:from>
    <xdr:to>
      <xdr:col>2</xdr:col>
      <xdr:colOff>130435</xdr:colOff>
      <xdr:row>6</xdr:row>
      <xdr:rowOff>1737</xdr:rowOff>
    </xdr:to>
    <xdr:sp macro="" textlink="">
      <xdr:nvSpPr>
        <xdr:cNvPr id="9" name="Rectangle 8"/>
        <xdr:cNvSpPr/>
      </xdr:nvSpPr>
      <xdr:spPr>
        <a:xfrm>
          <a:off x="728382" y="730308"/>
          <a:ext cx="998624" cy="3600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14/09/2026</a:t>
          </a:r>
        </a:p>
      </xdr:txBody>
    </xdr:sp>
    <xdr:clientData/>
  </xdr:twoCellAnchor>
  <xdr:twoCellAnchor>
    <xdr:from>
      <xdr:col>2</xdr:col>
      <xdr:colOff>555480</xdr:colOff>
      <xdr:row>4</xdr:row>
      <xdr:rowOff>4280</xdr:rowOff>
    </xdr:from>
    <xdr:to>
      <xdr:col>3</xdr:col>
      <xdr:colOff>661409</xdr:colOff>
      <xdr:row>6</xdr:row>
      <xdr:rowOff>1423</xdr:rowOff>
    </xdr:to>
    <xdr:sp macro="" textlink="">
      <xdr:nvSpPr>
        <xdr:cNvPr id="10" name="Rectangle 9"/>
        <xdr:cNvSpPr/>
      </xdr:nvSpPr>
      <xdr:spPr>
        <a:xfrm>
          <a:off x="2152051" y="729994"/>
          <a:ext cx="904215"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09/10/2026</a:t>
          </a:r>
        </a:p>
      </xdr:txBody>
    </xdr:sp>
    <xdr:clientData/>
  </xdr:twoCellAnchor>
  <xdr:twoCellAnchor>
    <xdr:from>
      <xdr:col>1</xdr:col>
      <xdr:colOff>401357</xdr:colOff>
      <xdr:row>31</xdr:row>
      <xdr:rowOff>151394</xdr:rowOff>
    </xdr:from>
    <xdr:to>
      <xdr:col>3</xdr:col>
      <xdr:colOff>211018</xdr:colOff>
      <xdr:row>32</xdr:row>
      <xdr:rowOff>152100</xdr:rowOff>
    </xdr:to>
    <xdr:sp macro="" textlink="">
      <xdr:nvSpPr>
        <xdr:cNvPr id="12" name="Chevron 11"/>
        <xdr:cNvSpPr/>
      </xdr:nvSpPr>
      <xdr:spPr>
        <a:xfrm>
          <a:off x="1199643" y="6319965"/>
          <a:ext cx="1406232"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a:t>
          </a:r>
          <a:r>
            <a:rPr lang="fr-FR" sz="1100" b="1">
              <a:solidFill>
                <a:schemeClr val="bg1"/>
              </a:solidFill>
            </a:rPr>
            <a:t>1</a:t>
          </a:r>
        </a:p>
      </xdr:txBody>
    </xdr:sp>
    <xdr:clientData/>
  </xdr:twoCellAnchor>
  <xdr:twoCellAnchor editAs="oneCell">
    <xdr:from>
      <xdr:col>20</xdr:col>
      <xdr:colOff>227386</xdr:colOff>
      <xdr:row>6</xdr:row>
      <xdr:rowOff>12047</xdr:rowOff>
    </xdr:from>
    <xdr:to>
      <xdr:col>20</xdr:col>
      <xdr:colOff>278706</xdr:colOff>
      <xdr:row>32</xdr:row>
      <xdr:rowOff>82904</xdr:rowOff>
    </xdr:to>
    <xdr:pic>
      <xdr:nvPicPr>
        <xdr:cNvPr id="25" name="Image 24"/>
        <xdr:cNvPicPr>
          <a:picLocks noChangeAspect="1"/>
        </xdr:cNvPicPr>
      </xdr:nvPicPr>
      <xdr:blipFill>
        <a:blip xmlns:r="http://schemas.openxmlformats.org/officeDocument/2006/relationships" r:embed="rId1"/>
        <a:stretch>
          <a:fillRect/>
        </a:stretch>
      </xdr:blipFill>
      <xdr:spPr>
        <a:xfrm>
          <a:off x="16193100" y="1100618"/>
          <a:ext cx="51320" cy="4788000"/>
        </a:xfrm>
        <a:prstGeom prst="rect">
          <a:avLst/>
        </a:prstGeom>
      </xdr:spPr>
    </xdr:pic>
    <xdr:clientData/>
  </xdr:twoCellAnchor>
  <xdr:twoCellAnchor>
    <xdr:from>
      <xdr:col>19</xdr:col>
      <xdr:colOff>604045</xdr:colOff>
      <xdr:row>4</xdr:row>
      <xdr:rowOff>1163</xdr:rowOff>
    </xdr:from>
    <xdr:to>
      <xdr:col>20</xdr:col>
      <xdr:colOff>709975</xdr:colOff>
      <xdr:row>5</xdr:row>
      <xdr:rowOff>179734</xdr:rowOff>
    </xdr:to>
    <xdr:sp macro="" textlink="">
      <xdr:nvSpPr>
        <xdr:cNvPr id="26" name="Rectangle 25"/>
        <xdr:cNvSpPr/>
      </xdr:nvSpPr>
      <xdr:spPr>
        <a:xfrm>
          <a:off x="15771474" y="726877"/>
          <a:ext cx="904215"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50" b="1"/>
            <a:t>23/04/2027</a:t>
          </a:r>
        </a:p>
      </xdr:txBody>
    </xdr:sp>
    <xdr:clientData/>
  </xdr:twoCellAnchor>
  <xdr:twoCellAnchor>
    <xdr:from>
      <xdr:col>0</xdr:col>
      <xdr:colOff>694765</xdr:colOff>
      <xdr:row>8</xdr:row>
      <xdr:rowOff>1</xdr:rowOff>
    </xdr:from>
    <xdr:to>
      <xdr:col>2</xdr:col>
      <xdr:colOff>98778</xdr:colOff>
      <xdr:row>13</xdr:row>
      <xdr:rowOff>168089</xdr:rowOff>
    </xdr:to>
    <xdr:sp macro="" textlink="">
      <xdr:nvSpPr>
        <xdr:cNvPr id="65" name="Losange 64"/>
        <xdr:cNvSpPr/>
      </xdr:nvSpPr>
      <xdr:spPr>
        <a:xfrm>
          <a:off x="694765" y="1834445"/>
          <a:ext cx="984457" cy="1268755"/>
        </a:xfrm>
        <a:prstGeom prst="diamond">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100" b="1"/>
            <a:t>Point</a:t>
          </a:r>
          <a:r>
            <a:rPr lang="fr-FR" sz="1200" b="1"/>
            <a:t> de Synchro</a:t>
          </a:r>
        </a:p>
      </xdr:txBody>
    </xdr:sp>
    <xdr:clientData/>
  </xdr:twoCellAnchor>
  <xdr:twoCellAnchor>
    <xdr:from>
      <xdr:col>1</xdr:col>
      <xdr:colOff>409426</xdr:colOff>
      <xdr:row>15</xdr:row>
      <xdr:rowOff>169147</xdr:rowOff>
    </xdr:from>
    <xdr:to>
      <xdr:col>3</xdr:col>
      <xdr:colOff>219087</xdr:colOff>
      <xdr:row>17</xdr:row>
      <xdr:rowOff>149462</xdr:rowOff>
    </xdr:to>
    <xdr:sp macro="" textlink="">
      <xdr:nvSpPr>
        <xdr:cNvPr id="66" name="Chevron 65"/>
        <xdr:cNvSpPr/>
      </xdr:nvSpPr>
      <xdr:spPr>
        <a:xfrm>
          <a:off x="1201308" y="3411382"/>
          <a:ext cx="1393426" cy="338904"/>
        </a:xfrm>
        <a:prstGeom prst="chevron">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Event</a:t>
          </a:r>
          <a:r>
            <a:rPr lang="fr-FR" sz="1400" b="1" baseline="0">
              <a:solidFill>
                <a:schemeClr val="bg1"/>
              </a:solidFill>
            </a:rPr>
            <a:t> - Site WEB</a:t>
          </a:r>
          <a:r>
            <a:rPr lang="fr-FR" sz="1400" b="1">
              <a:solidFill>
                <a:schemeClr val="bg1"/>
              </a:solidFill>
            </a:rPr>
            <a:t> </a:t>
          </a:r>
        </a:p>
      </xdr:txBody>
    </xdr:sp>
    <xdr:clientData/>
  </xdr:twoCellAnchor>
  <xdr:twoCellAnchor>
    <xdr:from>
      <xdr:col>4</xdr:col>
      <xdr:colOff>315660</xdr:colOff>
      <xdr:row>4</xdr:row>
      <xdr:rowOff>4281</xdr:rowOff>
    </xdr:from>
    <xdr:to>
      <xdr:col>5</xdr:col>
      <xdr:colOff>421590</xdr:colOff>
      <xdr:row>6</xdr:row>
      <xdr:rowOff>1424</xdr:rowOff>
    </xdr:to>
    <xdr:sp macro="" textlink="">
      <xdr:nvSpPr>
        <xdr:cNvPr id="37" name="Rectangle 36"/>
        <xdr:cNvSpPr/>
      </xdr:nvSpPr>
      <xdr:spPr>
        <a:xfrm>
          <a:off x="3508803" y="729995"/>
          <a:ext cx="904216"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30/10/2026</a:t>
          </a:r>
        </a:p>
      </xdr:txBody>
    </xdr:sp>
    <xdr:clientData/>
  </xdr:twoCellAnchor>
  <xdr:twoCellAnchor editAs="oneCell">
    <xdr:from>
      <xdr:col>4</xdr:col>
      <xdr:colOff>714875</xdr:colOff>
      <xdr:row>6</xdr:row>
      <xdr:rowOff>1531</xdr:rowOff>
    </xdr:from>
    <xdr:to>
      <xdr:col>4</xdr:col>
      <xdr:colOff>766224</xdr:colOff>
      <xdr:row>32</xdr:row>
      <xdr:rowOff>72388</xdr:rowOff>
    </xdr:to>
    <xdr:pic>
      <xdr:nvPicPr>
        <xdr:cNvPr id="39" name="Image 38"/>
        <xdr:cNvPicPr>
          <a:picLocks noChangeAspect="1"/>
        </xdr:cNvPicPr>
      </xdr:nvPicPr>
      <xdr:blipFill>
        <a:blip xmlns:r="http://schemas.openxmlformats.org/officeDocument/2006/relationships" r:embed="rId1"/>
        <a:stretch>
          <a:fillRect/>
        </a:stretch>
      </xdr:blipFill>
      <xdr:spPr>
        <a:xfrm>
          <a:off x="3908018" y="1090102"/>
          <a:ext cx="51349" cy="4788000"/>
        </a:xfrm>
        <a:prstGeom prst="rect">
          <a:avLst/>
        </a:prstGeom>
      </xdr:spPr>
    </xdr:pic>
    <xdr:clientData/>
  </xdr:twoCellAnchor>
  <xdr:twoCellAnchor>
    <xdr:from>
      <xdr:col>7</xdr:col>
      <xdr:colOff>623158</xdr:colOff>
      <xdr:row>3</xdr:row>
      <xdr:rowOff>181079</xdr:rowOff>
    </xdr:from>
    <xdr:to>
      <xdr:col>8</xdr:col>
      <xdr:colOff>729089</xdr:colOff>
      <xdr:row>5</xdr:row>
      <xdr:rowOff>178222</xdr:rowOff>
    </xdr:to>
    <xdr:sp macro="" textlink="">
      <xdr:nvSpPr>
        <xdr:cNvPr id="42" name="Rectangle 41"/>
        <xdr:cNvSpPr/>
      </xdr:nvSpPr>
      <xdr:spPr>
        <a:xfrm>
          <a:off x="6211158" y="725365"/>
          <a:ext cx="904217"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fr-FR" sz="1200" b="1">
              <a:solidFill>
                <a:schemeClr val="lt1"/>
              </a:solidFill>
              <a:latin typeface="+mn-lt"/>
              <a:ea typeface="+mn-ea"/>
              <a:cs typeface="+mn-cs"/>
            </a:rPr>
            <a:t>27/11/2026</a:t>
          </a:r>
        </a:p>
      </xdr:txBody>
    </xdr:sp>
    <xdr:clientData/>
  </xdr:twoCellAnchor>
  <xdr:twoCellAnchor editAs="oneCell">
    <xdr:from>
      <xdr:col>8</xdr:col>
      <xdr:colOff>254813</xdr:colOff>
      <xdr:row>6</xdr:row>
      <xdr:rowOff>15279</xdr:rowOff>
    </xdr:from>
    <xdr:to>
      <xdr:col>8</xdr:col>
      <xdr:colOff>306582</xdr:colOff>
      <xdr:row>32</xdr:row>
      <xdr:rowOff>86136</xdr:rowOff>
    </xdr:to>
    <xdr:pic>
      <xdr:nvPicPr>
        <xdr:cNvPr id="43" name="Image 42"/>
        <xdr:cNvPicPr>
          <a:picLocks noChangeAspect="1"/>
        </xdr:cNvPicPr>
      </xdr:nvPicPr>
      <xdr:blipFill>
        <a:blip xmlns:r="http://schemas.openxmlformats.org/officeDocument/2006/relationships" r:embed="rId1"/>
        <a:stretch>
          <a:fillRect/>
        </a:stretch>
      </xdr:blipFill>
      <xdr:spPr>
        <a:xfrm>
          <a:off x="6641099" y="1103850"/>
          <a:ext cx="51769" cy="4788000"/>
        </a:xfrm>
        <a:prstGeom prst="rect">
          <a:avLst/>
        </a:prstGeom>
      </xdr:spPr>
    </xdr:pic>
    <xdr:clientData/>
  </xdr:twoCellAnchor>
  <xdr:twoCellAnchor>
    <xdr:from>
      <xdr:col>6</xdr:col>
      <xdr:colOff>484697</xdr:colOff>
      <xdr:row>5</xdr:row>
      <xdr:rowOff>179404</xdr:rowOff>
    </xdr:from>
    <xdr:to>
      <xdr:col>6</xdr:col>
      <xdr:colOff>506468</xdr:colOff>
      <xdr:row>32</xdr:row>
      <xdr:rowOff>73727</xdr:rowOff>
    </xdr:to>
    <xdr:cxnSp macro="">
      <xdr:nvCxnSpPr>
        <xdr:cNvPr id="44" name="Connecteur droit 43"/>
        <xdr:cNvCxnSpPr/>
      </xdr:nvCxnSpPr>
      <xdr:spPr>
        <a:xfrm flipH="1">
          <a:off x="5274411" y="1086547"/>
          <a:ext cx="21771" cy="4792894"/>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21684</xdr:colOff>
      <xdr:row>4</xdr:row>
      <xdr:rowOff>12447</xdr:rowOff>
    </xdr:from>
    <xdr:to>
      <xdr:col>7</xdr:col>
      <xdr:colOff>197242</xdr:colOff>
      <xdr:row>6</xdr:row>
      <xdr:rowOff>9590</xdr:rowOff>
    </xdr:to>
    <xdr:sp macro="" textlink="">
      <xdr:nvSpPr>
        <xdr:cNvPr id="45" name="Rectangle 44"/>
        <xdr:cNvSpPr/>
      </xdr:nvSpPr>
      <xdr:spPr>
        <a:xfrm>
          <a:off x="4811398" y="738161"/>
          <a:ext cx="973844" cy="3600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200" b="1">
              <a:solidFill>
                <a:schemeClr val="lt1"/>
              </a:solidFill>
              <a:latin typeface="+mn-lt"/>
              <a:ea typeface="+mn-ea"/>
              <a:cs typeface="+mn-cs"/>
            </a:rPr>
            <a:t>06/11/2026-</a:t>
          </a:r>
        </a:p>
      </xdr:txBody>
    </xdr:sp>
    <xdr:clientData/>
  </xdr:twoCellAnchor>
  <xdr:twoCellAnchor>
    <xdr:from>
      <xdr:col>5</xdr:col>
      <xdr:colOff>786371</xdr:colOff>
      <xdr:row>7</xdr:row>
      <xdr:rowOff>120954</xdr:rowOff>
    </xdr:from>
    <xdr:to>
      <xdr:col>7</xdr:col>
      <xdr:colOff>186056</xdr:colOff>
      <xdr:row>13</xdr:row>
      <xdr:rowOff>107613</xdr:rowOff>
    </xdr:to>
    <xdr:sp macro="" textlink="">
      <xdr:nvSpPr>
        <xdr:cNvPr id="46" name="Losange 45"/>
        <xdr:cNvSpPr/>
      </xdr:nvSpPr>
      <xdr:spPr>
        <a:xfrm>
          <a:off x="4777800" y="1390954"/>
          <a:ext cx="996256" cy="1075230"/>
        </a:xfrm>
        <a:prstGeom prst="diamond">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100" b="1"/>
            <a:t>Validation UAT2 </a:t>
          </a:r>
        </a:p>
      </xdr:txBody>
    </xdr:sp>
    <xdr:clientData/>
  </xdr:twoCellAnchor>
  <xdr:twoCellAnchor>
    <xdr:from>
      <xdr:col>4</xdr:col>
      <xdr:colOff>721077</xdr:colOff>
      <xdr:row>14</xdr:row>
      <xdr:rowOff>78438</xdr:rowOff>
    </xdr:from>
    <xdr:to>
      <xdr:col>6</xdr:col>
      <xdr:colOff>486925</xdr:colOff>
      <xdr:row>16</xdr:row>
      <xdr:rowOff>89644</xdr:rowOff>
    </xdr:to>
    <xdr:sp macro="" textlink="">
      <xdr:nvSpPr>
        <xdr:cNvPr id="47" name="Chevron 46"/>
        <xdr:cNvSpPr/>
      </xdr:nvSpPr>
      <xdr:spPr>
        <a:xfrm>
          <a:off x="3914220" y="2618438"/>
          <a:ext cx="1362419" cy="374063"/>
        </a:xfrm>
        <a:prstGeom prst="chevron">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300" b="1">
              <a:solidFill>
                <a:schemeClr val="bg1"/>
              </a:solidFill>
            </a:rPr>
            <a:t>UAT </a:t>
          </a:r>
          <a:r>
            <a:rPr lang="fr-FR" sz="1300" b="1" baseline="0">
              <a:solidFill>
                <a:schemeClr val="bg1"/>
              </a:solidFill>
            </a:rPr>
            <a:t> 2</a:t>
          </a:r>
        </a:p>
      </xdr:txBody>
    </xdr:sp>
    <xdr:clientData/>
  </xdr:twoCellAnchor>
  <xdr:twoCellAnchor editAs="oneCell">
    <xdr:from>
      <xdr:col>10</xdr:col>
      <xdr:colOff>27584</xdr:colOff>
      <xdr:row>6</xdr:row>
      <xdr:rowOff>42171</xdr:rowOff>
    </xdr:from>
    <xdr:to>
      <xdr:col>10</xdr:col>
      <xdr:colOff>78975</xdr:colOff>
      <xdr:row>32</xdr:row>
      <xdr:rowOff>113028</xdr:rowOff>
    </xdr:to>
    <xdr:pic>
      <xdr:nvPicPr>
        <xdr:cNvPr id="53" name="Image 52"/>
        <xdr:cNvPicPr>
          <a:picLocks noChangeAspect="1"/>
        </xdr:cNvPicPr>
      </xdr:nvPicPr>
      <xdr:blipFill>
        <a:blip xmlns:r="http://schemas.openxmlformats.org/officeDocument/2006/relationships" r:embed="rId1"/>
        <a:stretch>
          <a:fillRect/>
        </a:stretch>
      </xdr:blipFill>
      <xdr:spPr>
        <a:xfrm>
          <a:off x="8010441" y="1130742"/>
          <a:ext cx="51391" cy="4788000"/>
        </a:xfrm>
        <a:prstGeom prst="rect">
          <a:avLst/>
        </a:prstGeom>
      </xdr:spPr>
    </xdr:pic>
    <xdr:clientData/>
  </xdr:twoCellAnchor>
  <xdr:twoCellAnchor>
    <xdr:from>
      <xdr:col>9</xdr:col>
      <xdr:colOff>419022</xdr:colOff>
      <xdr:row>3</xdr:row>
      <xdr:rowOff>181078</xdr:rowOff>
    </xdr:from>
    <xdr:to>
      <xdr:col>10</xdr:col>
      <xdr:colOff>524950</xdr:colOff>
      <xdr:row>5</xdr:row>
      <xdr:rowOff>178221</xdr:rowOff>
    </xdr:to>
    <xdr:sp macro="" textlink="">
      <xdr:nvSpPr>
        <xdr:cNvPr id="54" name="Rectangle 53"/>
        <xdr:cNvSpPr/>
      </xdr:nvSpPr>
      <xdr:spPr>
        <a:xfrm>
          <a:off x="7603593" y="725364"/>
          <a:ext cx="904214"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18/12/2026</a:t>
          </a:r>
        </a:p>
      </xdr:txBody>
    </xdr:sp>
    <xdr:clientData/>
  </xdr:twoCellAnchor>
  <xdr:twoCellAnchor>
    <xdr:from>
      <xdr:col>11</xdr:col>
      <xdr:colOff>186315</xdr:colOff>
      <xdr:row>3</xdr:row>
      <xdr:rowOff>181079</xdr:rowOff>
    </xdr:from>
    <xdr:to>
      <xdr:col>12</xdr:col>
      <xdr:colOff>292246</xdr:colOff>
      <xdr:row>5</xdr:row>
      <xdr:rowOff>178222</xdr:rowOff>
    </xdr:to>
    <xdr:sp macro="" textlink="">
      <xdr:nvSpPr>
        <xdr:cNvPr id="55" name="Rectangle 54"/>
        <xdr:cNvSpPr/>
      </xdr:nvSpPr>
      <xdr:spPr>
        <a:xfrm>
          <a:off x="8967458" y="725365"/>
          <a:ext cx="904217"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08/01/2027</a:t>
          </a:r>
        </a:p>
      </xdr:txBody>
    </xdr:sp>
    <xdr:clientData/>
  </xdr:twoCellAnchor>
  <xdr:twoCellAnchor editAs="oneCell">
    <xdr:from>
      <xdr:col>11</xdr:col>
      <xdr:colOff>589521</xdr:colOff>
      <xdr:row>6</xdr:row>
      <xdr:rowOff>338</xdr:rowOff>
    </xdr:from>
    <xdr:to>
      <xdr:col>11</xdr:col>
      <xdr:colOff>640834</xdr:colOff>
      <xdr:row>32</xdr:row>
      <xdr:rowOff>71195</xdr:rowOff>
    </xdr:to>
    <xdr:pic>
      <xdr:nvPicPr>
        <xdr:cNvPr id="56" name="Image 55"/>
        <xdr:cNvPicPr>
          <a:picLocks noChangeAspect="1"/>
        </xdr:cNvPicPr>
      </xdr:nvPicPr>
      <xdr:blipFill>
        <a:blip xmlns:r="http://schemas.openxmlformats.org/officeDocument/2006/relationships" r:embed="rId1"/>
        <a:stretch>
          <a:fillRect/>
        </a:stretch>
      </xdr:blipFill>
      <xdr:spPr>
        <a:xfrm>
          <a:off x="9370664" y="1088909"/>
          <a:ext cx="51313" cy="4788000"/>
        </a:xfrm>
        <a:prstGeom prst="rect">
          <a:avLst/>
        </a:prstGeom>
      </xdr:spPr>
    </xdr:pic>
    <xdr:clientData/>
  </xdr:twoCellAnchor>
  <xdr:twoCellAnchor>
    <xdr:from>
      <xdr:col>12</xdr:col>
      <xdr:colOff>759908</xdr:colOff>
      <xdr:row>4</xdr:row>
      <xdr:rowOff>2641</xdr:rowOff>
    </xdr:from>
    <xdr:to>
      <xdr:col>14</xdr:col>
      <xdr:colOff>67554</xdr:colOff>
      <xdr:row>5</xdr:row>
      <xdr:rowOff>181212</xdr:rowOff>
    </xdr:to>
    <xdr:sp macro="" textlink="">
      <xdr:nvSpPr>
        <xdr:cNvPr id="57" name="Rectangle 56"/>
        <xdr:cNvSpPr/>
      </xdr:nvSpPr>
      <xdr:spPr>
        <a:xfrm>
          <a:off x="10339337" y="728355"/>
          <a:ext cx="904217"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fr-FR" sz="1200" b="1">
              <a:solidFill>
                <a:schemeClr val="lt1"/>
              </a:solidFill>
              <a:latin typeface="+mn-lt"/>
              <a:ea typeface="+mn-ea"/>
              <a:cs typeface="+mn-cs"/>
            </a:rPr>
            <a:t>29/01/2027</a:t>
          </a:r>
        </a:p>
      </xdr:txBody>
    </xdr:sp>
    <xdr:clientData/>
  </xdr:twoCellAnchor>
  <xdr:twoCellAnchor editAs="oneCell">
    <xdr:from>
      <xdr:col>13</xdr:col>
      <xdr:colOff>366898</xdr:colOff>
      <xdr:row>6</xdr:row>
      <xdr:rowOff>18269</xdr:rowOff>
    </xdr:from>
    <xdr:to>
      <xdr:col>13</xdr:col>
      <xdr:colOff>418170</xdr:colOff>
      <xdr:row>32</xdr:row>
      <xdr:rowOff>89126</xdr:rowOff>
    </xdr:to>
    <xdr:pic>
      <xdr:nvPicPr>
        <xdr:cNvPr id="58" name="Image 57"/>
        <xdr:cNvPicPr>
          <a:picLocks noChangeAspect="1"/>
        </xdr:cNvPicPr>
      </xdr:nvPicPr>
      <xdr:blipFill>
        <a:blip xmlns:r="http://schemas.openxmlformats.org/officeDocument/2006/relationships" r:embed="rId1"/>
        <a:stretch>
          <a:fillRect/>
        </a:stretch>
      </xdr:blipFill>
      <xdr:spPr>
        <a:xfrm>
          <a:off x="10744612" y="1106840"/>
          <a:ext cx="51272" cy="4788000"/>
        </a:xfrm>
        <a:prstGeom prst="rect">
          <a:avLst/>
        </a:prstGeom>
      </xdr:spPr>
    </xdr:pic>
    <xdr:clientData/>
  </xdr:twoCellAnchor>
  <xdr:twoCellAnchor editAs="oneCell">
    <xdr:from>
      <xdr:col>15</xdr:col>
      <xdr:colOff>138298</xdr:colOff>
      <xdr:row>6</xdr:row>
      <xdr:rowOff>30220</xdr:rowOff>
    </xdr:from>
    <xdr:to>
      <xdr:col>15</xdr:col>
      <xdr:colOff>189630</xdr:colOff>
      <xdr:row>32</xdr:row>
      <xdr:rowOff>101077</xdr:rowOff>
    </xdr:to>
    <xdr:pic>
      <xdr:nvPicPr>
        <xdr:cNvPr id="59" name="Image 58"/>
        <xdr:cNvPicPr>
          <a:picLocks noChangeAspect="1"/>
        </xdr:cNvPicPr>
      </xdr:nvPicPr>
      <xdr:blipFill>
        <a:blip xmlns:r="http://schemas.openxmlformats.org/officeDocument/2006/relationships" r:embed="rId1"/>
        <a:stretch>
          <a:fillRect/>
        </a:stretch>
      </xdr:blipFill>
      <xdr:spPr>
        <a:xfrm>
          <a:off x="12112584" y="1118791"/>
          <a:ext cx="51332" cy="4788000"/>
        </a:xfrm>
        <a:prstGeom prst="rect">
          <a:avLst/>
        </a:prstGeom>
      </xdr:spPr>
    </xdr:pic>
    <xdr:clientData/>
  </xdr:twoCellAnchor>
  <xdr:twoCellAnchor>
    <xdr:from>
      <xdr:col>14</xdr:col>
      <xdr:colOff>527310</xdr:colOff>
      <xdr:row>4</xdr:row>
      <xdr:rowOff>2938</xdr:rowOff>
    </xdr:from>
    <xdr:to>
      <xdr:col>15</xdr:col>
      <xdr:colOff>633237</xdr:colOff>
      <xdr:row>6</xdr:row>
      <xdr:rowOff>81</xdr:rowOff>
    </xdr:to>
    <xdr:sp macro="" textlink="">
      <xdr:nvSpPr>
        <xdr:cNvPr id="60" name="Rectangle 59"/>
        <xdr:cNvSpPr/>
      </xdr:nvSpPr>
      <xdr:spPr>
        <a:xfrm>
          <a:off x="11703310" y="728652"/>
          <a:ext cx="904213"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19/02/2027</a:t>
          </a:r>
        </a:p>
      </xdr:txBody>
    </xdr:sp>
    <xdr:clientData/>
  </xdr:twoCellAnchor>
  <xdr:twoCellAnchor>
    <xdr:from>
      <xdr:col>16</xdr:col>
      <xdr:colOff>276102</xdr:colOff>
      <xdr:row>4</xdr:row>
      <xdr:rowOff>2939</xdr:rowOff>
    </xdr:from>
    <xdr:to>
      <xdr:col>17</xdr:col>
      <xdr:colOff>388437</xdr:colOff>
      <xdr:row>6</xdr:row>
      <xdr:rowOff>82</xdr:rowOff>
    </xdr:to>
    <xdr:sp macro="" textlink="">
      <xdr:nvSpPr>
        <xdr:cNvPr id="61" name="Rectangle 60"/>
        <xdr:cNvSpPr/>
      </xdr:nvSpPr>
      <xdr:spPr>
        <a:xfrm>
          <a:off x="13048673" y="728653"/>
          <a:ext cx="910621"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19/03/2027</a:t>
          </a:r>
        </a:p>
      </xdr:txBody>
    </xdr:sp>
    <xdr:clientData/>
  </xdr:twoCellAnchor>
  <xdr:twoCellAnchor editAs="oneCell">
    <xdr:from>
      <xdr:col>16</xdr:col>
      <xdr:colOff>684994</xdr:colOff>
      <xdr:row>6</xdr:row>
      <xdr:rowOff>1642</xdr:rowOff>
    </xdr:from>
    <xdr:to>
      <xdr:col>16</xdr:col>
      <xdr:colOff>736382</xdr:colOff>
      <xdr:row>32</xdr:row>
      <xdr:rowOff>72499</xdr:rowOff>
    </xdr:to>
    <xdr:pic>
      <xdr:nvPicPr>
        <xdr:cNvPr id="62" name="Image 61"/>
        <xdr:cNvPicPr>
          <a:picLocks noChangeAspect="1"/>
        </xdr:cNvPicPr>
      </xdr:nvPicPr>
      <xdr:blipFill>
        <a:blip xmlns:r="http://schemas.openxmlformats.org/officeDocument/2006/relationships" r:embed="rId1"/>
        <a:stretch>
          <a:fillRect/>
        </a:stretch>
      </xdr:blipFill>
      <xdr:spPr>
        <a:xfrm>
          <a:off x="13457565" y="1090213"/>
          <a:ext cx="51388" cy="4788000"/>
        </a:xfrm>
        <a:prstGeom prst="rect">
          <a:avLst/>
        </a:prstGeom>
      </xdr:spPr>
    </xdr:pic>
    <xdr:clientData/>
  </xdr:twoCellAnchor>
  <xdr:twoCellAnchor>
    <xdr:from>
      <xdr:col>16</xdr:col>
      <xdr:colOff>715698</xdr:colOff>
      <xdr:row>14</xdr:row>
      <xdr:rowOff>81426</xdr:rowOff>
    </xdr:from>
    <xdr:to>
      <xdr:col>18</xdr:col>
      <xdr:colOff>481544</xdr:colOff>
      <xdr:row>16</xdr:row>
      <xdr:rowOff>92632</xdr:rowOff>
    </xdr:to>
    <xdr:sp macro="" textlink="">
      <xdr:nvSpPr>
        <xdr:cNvPr id="72" name="Chevron 71"/>
        <xdr:cNvSpPr/>
      </xdr:nvSpPr>
      <xdr:spPr>
        <a:xfrm>
          <a:off x="13488269" y="2621426"/>
          <a:ext cx="1362418" cy="374063"/>
        </a:xfrm>
        <a:prstGeom prst="chevron">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300" b="1">
              <a:solidFill>
                <a:schemeClr val="bg1"/>
              </a:solidFill>
            </a:rPr>
            <a:t>UAT </a:t>
          </a:r>
          <a:r>
            <a:rPr lang="fr-FR" sz="1300" b="1" baseline="0">
              <a:solidFill>
                <a:schemeClr val="bg1"/>
              </a:solidFill>
            </a:rPr>
            <a:t> 3</a:t>
          </a:r>
        </a:p>
      </xdr:txBody>
    </xdr:sp>
    <xdr:clientData/>
  </xdr:twoCellAnchor>
  <xdr:twoCellAnchor>
    <xdr:from>
      <xdr:col>17</xdr:col>
      <xdr:colOff>767805</xdr:colOff>
      <xdr:row>7</xdr:row>
      <xdr:rowOff>119529</xdr:rowOff>
    </xdr:from>
    <xdr:to>
      <xdr:col>19</xdr:col>
      <xdr:colOff>164698</xdr:colOff>
      <xdr:row>13</xdr:row>
      <xdr:rowOff>108323</xdr:rowOff>
    </xdr:to>
    <xdr:sp macro="" textlink="">
      <xdr:nvSpPr>
        <xdr:cNvPr id="74" name="Losange 73"/>
        <xdr:cNvSpPr/>
      </xdr:nvSpPr>
      <xdr:spPr>
        <a:xfrm>
          <a:off x="14338662" y="1752386"/>
          <a:ext cx="993465" cy="1258794"/>
        </a:xfrm>
        <a:prstGeom prst="diamond">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100" b="1"/>
            <a:t>Validation UAT3 </a:t>
          </a:r>
        </a:p>
      </xdr:txBody>
    </xdr:sp>
    <xdr:clientData/>
  </xdr:twoCellAnchor>
  <xdr:twoCellAnchor editAs="oneCell">
    <xdr:from>
      <xdr:col>22</xdr:col>
      <xdr:colOff>16531</xdr:colOff>
      <xdr:row>6</xdr:row>
      <xdr:rowOff>18268</xdr:rowOff>
    </xdr:from>
    <xdr:to>
      <xdr:col>22</xdr:col>
      <xdr:colOff>67803</xdr:colOff>
      <xdr:row>32</xdr:row>
      <xdr:rowOff>89125</xdr:rowOff>
    </xdr:to>
    <xdr:pic>
      <xdr:nvPicPr>
        <xdr:cNvPr id="78" name="Image 77"/>
        <xdr:cNvPicPr>
          <a:picLocks noChangeAspect="1"/>
        </xdr:cNvPicPr>
      </xdr:nvPicPr>
      <xdr:blipFill>
        <a:blip xmlns:r="http://schemas.openxmlformats.org/officeDocument/2006/relationships" r:embed="rId1"/>
        <a:stretch>
          <a:fillRect/>
        </a:stretch>
      </xdr:blipFill>
      <xdr:spPr>
        <a:xfrm>
          <a:off x="17578817" y="1106839"/>
          <a:ext cx="51272" cy="4788000"/>
        </a:xfrm>
        <a:prstGeom prst="rect">
          <a:avLst/>
        </a:prstGeom>
      </xdr:spPr>
    </xdr:pic>
    <xdr:clientData/>
  </xdr:twoCellAnchor>
  <xdr:twoCellAnchor>
    <xdr:from>
      <xdr:col>21</xdr:col>
      <xdr:colOff>417885</xdr:colOff>
      <xdr:row>3</xdr:row>
      <xdr:rowOff>180034</xdr:rowOff>
    </xdr:from>
    <xdr:to>
      <xdr:col>22</xdr:col>
      <xdr:colOff>522596</xdr:colOff>
      <xdr:row>5</xdr:row>
      <xdr:rowOff>177177</xdr:rowOff>
    </xdr:to>
    <xdr:sp macro="" textlink="">
      <xdr:nvSpPr>
        <xdr:cNvPr id="79" name="Rectangle 78"/>
        <xdr:cNvSpPr/>
      </xdr:nvSpPr>
      <xdr:spPr>
        <a:xfrm>
          <a:off x="17181885" y="724320"/>
          <a:ext cx="902997"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14/05/2027</a:t>
          </a:r>
        </a:p>
      </xdr:txBody>
    </xdr:sp>
    <xdr:clientData/>
  </xdr:twoCellAnchor>
  <xdr:twoCellAnchor>
    <xdr:from>
      <xdr:col>23</xdr:col>
      <xdr:colOff>160985</xdr:colOff>
      <xdr:row>3</xdr:row>
      <xdr:rowOff>180035</xdr:rowOff>
    </xdr:from>
    <xdr:to>
      <xdr:col>24</xdr:col>
      <xdr:colOff>266916</xdr:colOff>
      <xdr:row>5</xdr:row>
      <xdr:rowOff>177178</xdr:rowOff>
    </xdr:to>
    <xdr:sp macro="" textlink="">
      <xdr:nvSpPr>
        <xdr:cNvPr id="80" name="Rectangle 79"/>
        <xdr:cNvSpPr/>
      </xdr:nvSpPr>
      <xdr:spPr>
        <a:xfrm>
          <a:off x="18521556" y="724321"/>
          <a:ext cx="904217" cy="36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04/06/2027</a:t>
          </a:r>
        </a:p>
      </xdr:txBody>
    </xdr:sp>
    <xdr:clientData/>
  </xdr:twoCellAnchor>
  <xdr:twoCellAnchor editAs="oneCell">
    <xdr:from>
      <xdr:col>23</xdr:col>
      <xdr:colOff>558149</xdr:colOff>
      <xdr:row>6</xdr:row>
      <xdr:rowOff>4930</xdr:rowOff>
    </xdr:from>
    <xdr:to>
      <xdr:col>23</xdr:col>
      <xdr:colOff>615307</xdr:colOff>
      <xdr:row>32</xdr:row>
      <xdr:rowOff>75787</xdr:rowOff>
    </xdr:to>
    <xdr:pic>
      <xdr:nvPicPr>
        <xdr:cNvPr id="81" name="Image 80"/>
        <xdr:cNvPicPr>
          <a:picLocks noChangeAspect="1"/>
        </xdr:cNvPicPr>
      </xdr:nvPicPr>
      <xdr:blipFill>
        <a:blip xmlns:r="http://schemas.openxmlformats.org/officeDocument/2006/relationships" r:embed="rId1"/>
        <a:stretch>
          <a:fillRect/>
        </a:stretch>
      </xdr:blipFill>
      <xdr:spPr>
        <a:xfrm>
          <a:off x="18918720" y="1093501"/>
          <a:ext cx="57158" cy="4788000"/>
        </a:xfrm>
        <a:prstGeom prst="rect">
          <a:avLst/>
        </a:prstGeom>
      </xdr:spPr>
    </xdr:pic>
    <xdr:clientData/>
  </xdr:twoCellAnchor>
  <xdr:twoCellAnchor>
    <xdr:from>
      <xdr:col>23</xdr:col>
      <xdr:colOff>557670</xdr:colOff>
      <xdr:row>14</xdr:row>
      <xdr:rowOff>69473</xdr:rowOff>
    </xdr:from>
    <xdr:to>
      <xdr:col>25</xdr:col>
      <xdr:colOff>323516</xdr:colOff>
      <xdr:row>16</xdr:row>
      <xdr:rowOff>80679</xdr:rowOff>
    </xdr:to>
    <xdr:sp macro="" textlink="">
      <xdr:nvSpPr>
        <xdr:cNvPr id="82" name="Chevron 81"/>
        <xdr:cNvSpPr/>
      </xdr:nvSpPr>
      <xdr:spPr>
        <a:xfrm>
          <a:off x="18982439" y="3097935"/>
          <a:ext cx="1368000" cy="362898"/>
        </a:xfrm>
        <a:prstGeom prst="chevron">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300" b="1">
              <a:solidFill>
                <a:schemeClr val="bg1"/>
              </a:solidFill>
            </a:rPr>
            <a:t>UAT 4</a:t>
          </a:r>
          <a:endParaRPr lang="fr-FR" sz="1300" b="1" baseline="0">
            <a:solidFill>
              <a:schemeClr val="bg1"/>
            </a:solidFill>
          </a:endParaRPr>
        </a:p>
      </xdr:txBody>
    </xdr:sp>
    <xdr:clientData/>
  </xdr:twoCellAnchor>
  <xdr:twoCellAnchor>
    <xdr:from>
      <xdr:col>24</xdr:col>
      <xdr:colOff>636697</xdr:colOff>
      <xdr:row>8</xdr:row>
      <xdr:rowOff>2988</xdr:rowOff>
    </xdr:from>
    <xdr:to>
      <xdr:col>26</xdr:col>
      <xdr:colOff>41211</xdr:colOff>
      <xdr:row>13</xdr:row>
      <xdr:rowOff>171076</xdr:rowOff>
    </xdr:to>
    <xdr:sp macro="" textlink="">
      <xdr:nvSpPr>
        <xdr:cNvPr id="83" name="Losange 82"/>
        <xdr:cNvSpPr/>
      </xdr:nvSpPr>
      <xdr:spPr>
        <a:xfrm>
          <a:off x="19862543" y="1780988"/>
          <a:ext cx="1006668" cy="1242703"/>
        </a:xfrm>
        <a:prstGeom prst="diamond">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100" b="1"/>
            <a:t>Validation UAT4 </a:t>
          </a:r>
        </a:p>
      </xdr:txBody>
    </xdr:sp>
    <xdr:clientData/>
  </xdr:twoCellAnchor>
  <xdr:twoCellAnchor>
    <xdr:from>
      <xdr:col>17</xdr:col>
      <xdr:colOff>771732</xdr:colOff>
      <xdr:row>4</xdr:row>
      <xdr:rowOff>3639</xdr:rowOff>
    </xdr:from>
    <xdr:to>
      <xdr:col>19</xdr:col>
      <xdr:colOff>149004</xdr:colOff>
      <xdr:row>6</xdr:row>
      <xdr:rowOff>782</xdr:rowOff>
    </xdr:to>
    <xdr:sp macro="" textlink="">
      <xdr:nvSpPr>
        <xdr:cNvPr id="85" name="Rectangle 84"/>
        <xdr:cNvSpPr/>
      </xdr:nvSpPr>
      <xdr:spPr>
        <a:xfrm>
          <a:off x="14342589" y="729353"/>
          <a:ext cx="973844" cy="3600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200" b="1">
              <a:solidFill>
                <a:schemeClr val="lt1"/>
              </a:solidFill>
              <a:latin typeface="+mn-lt"/>
              <a:ea typeface="+mn-ea"/>
              <a:cs typeface="+mn-cs"/>
            </a:rPr>
            <a:t>02/04/2027</a:t>
          </a:r>
        </a:p>
      </xdr:txBody>
    </xdr:sp>
    <xdr:clientData/>
  </xdr:twoCellAnchor>
  <xdr:twoCellAnchor>
    <xdr:from>
      <xdr:col>24</xdr:col>
      <xdr:colOff>631919</xdr:colOff>
      <xdr:row>3</xdr:row>
      <xdr:rowOff>180137</xdr:rowOff>
    </xdr:from>
    <xdr:to>
      <xdr:col>26</xdr:col>
      <xdr:colOff>16812</xdr:colOff>
      <xdr:row>5</xdr:row>
      <xdr:rowOff>177280</xdr:rowOff>
    </xdr:to>
    <xdr:sp macro="" textlink="">
      <xdr:nvSpPr>
        <xdr:cNvPr id="86" name="Rectangle 85"/>
        <xdr:cNvSpPr/>
      </xdr:nvSpPr>
      <xdr:spPr>
        <a:xfrm>
          <a:off x="19790776" y="724423"/>
          <a:ext cx="981465" cy="3600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200" b="1">
              <a:solidFill>
                <a:schemeClr val="lt1"/>
              </a:solidFill>
              <a:latin typeface="+mn-lt"/>
              <a:ea typeface="+mn-ea"/>
              <a:cs typeface="+mn-cs"/>
            </a:rPr>
            <a:t>18/06/2027</a:t>
          </a:r>
        </a:p>
      </xdr:txBody>
    </xdr:sp>
    <xdr:clientData/>
  </xdr:twoCellAnchor>
  <xdr:twoCellAnchor>
    <xdr:from>
      <xdr:col>3</xdr:col>
      <xdr:colOff>172007</xdr:colOff>
      <xdr:row>31</xdr:row>
      <xdr:rowOff>148034</xdr:rowOff>
    </xdr:from>
    <xdr:to>
      <xdr:col>4</xdr:col>
      <xdr:colOff>775418</xdr:colOff>
      <xdr:row>32</xdr:row>
      <xdr:rowOff>148740</xdr:rowOff>
    </xdr:to>
    <xdr:sp macro="" textlink="">
      <xdr:nvSpPr>
        <xdr:cNvPr id="87" name="Chevron 86"/>
        <xdr:cNvSpPr/>
      </xdr:nvSpPr>
      <xdr:spPr>
        <a:xfrm>
          <a:off x="2566864" y="6316605"/>
          <a:ext cx="1401697"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baseline="0">
              <a:solidFill>
                <a:schemeClr val="bg1"/>
              </a:solidFill>
            </a:rPr>
            <a:t>Prio 02</a:t>
          </a:r>
          <a:endParaRPr lang="fr-FR" sz="1100" b="1">
            <a:solidFill>
              <a:schemeClr val="bg1"/>
            </a:solidFill>
          </a:endParaRPr>
        </a:p>
      </xdr:txBody>
    </xdr:sp>
    <xdr:clientData/>
  </xdr:twoCellAnchor>
  <xdr:twoCellAnchor>
    <xdr:from>
      <xdr:col>4</xdr:col>
      <xdr:colOff>736415</xdr:colOff>
      <xdr:row>31</xdr:row>
      <xdr:rowOff>151024</xdr:rowOff>
    </xdr:from>
    <xdr:to>
      <xdr:col>6</xdr:col>
      <xdr:colOff>546076</xdr:colOff>
      <xdr:row>32</xdr:row>
      <xdr:rowOff>151730</xdr:rowOff>
    </xdr:to>
    <xdr:sp macro="" textlink="">
      <xdr:nvSpPr>
        <xdr:cNvPr id="88" name="Chevron 87"/>
        <xdr:cNvSpPr/>
      </xdr:nvSpPr>
      <xdr:spPr>
        <a:xfrm>
          <a:off x="3929558" y="6319595"/>
          <a:ext cx="1406232"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UAT</a:t>
          </a:r>
          <a:r>
            <a:rPr lang="fr-FR" sz="1100" b="1" baseline="0">
              <a:solidFill>
                <a:schemeClr val="bg1"/>
              </a:solidFill>
            </a:rPr>
            <a:t> 2</a:t>
          </a:r>
          <a:endParaRPr lang="fr-FR" sz="1100" b="1">
            <a:solidFill>
              <a:schemeClr val="bg1"/>
            </a:solidFill>
          </a:endParaRPr>
        </a:p>
      </xdr:txBody>
    </xdr:sp>
    <xdr:clientData/>
  </xdr:twoCellAnchor>
  <xdr:twoCellAnchor>
    <xdr:from>
      <xdr:col>10</xdr:col>
      <xdr:colOff>27605</xdr:colOff>
      <xdr:row>31</xdr:row>
      <xdr:rowOff>155284</xdr:rowOff>
    </xdr:from>
    <xdr:to>
      <xdr:col>11</xdr:col>
      <xdr:colOff>629746</xdr:colOff>
      <xdr:row>32</xdr:row>
      <xdr:rowOff>155990</xdr:rowOff>
    </xdr:to>
    <xdr:sp macro="" textlink="">
      <xdr:nvSpPr>
        <xdr:cNvPr id="89" name="Chevron 88"/>
        <xdr:cNvSpPr/>
      </xdr:nvSpPr>
      <xdr:spPr>
        <a:xfrm>
          <a:off x="8010462" y="6323855"/>
          <a:ext cx="1400427"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05</a:t>
          </a:r>
          <a:endParaRPr lang="fr-FR" sz="1100" b="1">
            <a:solidFill>
              <a:schemeClr val="bg1"/>
            </a:solidFill>
          </a:endParaRPr>
        </a:p>
      </xdr:txBody>
    </xdr:sp>
    <xdr:clientData/>
  </xdr:twoCellAnchor>
  <xdr:twoCellAnchor>
    <xdr:from>
      <xdr:col>13</xdr:col>
      <xdr:colOff>362514</xdr:colOff>
      <xdr:row>31</xdr:row>
      <xdr:rowOff>150654</xdr:rowOff>
    </xdr:from>
    <xdr:to>
      <xdr:col>15</xdr:col>
      <xdr:colOff>170308</xdr:colOff>
      <xdr:row>32</xdr:row>
      <xdr:rowOff>151360</xdr:rowOff>
    </xdr:to>
    <xdr:sp macro="" textlink="">
      <xdr:nvSpPr>
        <xdr:cNvPr id="90" name="Chevron 89"/>
        <xdr:cNvSpPr/>
      </xdr:nvSpPr>
      <xdr:spPr>
        <a:xfrm>
          <a:off x="10740228" y="6319225"/>
          <a:ext cx="1404366"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07</a:t>
          </a:r>
          <a:endParaRPr lang="fr-FR" sz="1100" b="1">
            <a:solidFill>
              <a:schemeClr val="bg1"/>
            </a:solidFill>
          </a:endParaRPr>
        </a:p>
      </xdr:txBody>
    </xdr:sp>
    <xdr:clientData/>
  </xdr:twoCellAnchor>
  <xdr:twoCellAnchor>
    <xdr:from>
      <xdr:col>8</xdr:col>
      <xdr:colOff>266962</xdr:colOff>
      <xdr:row>31</xdr:row>
      <xdr:rowOff>151396</xdr:rowOff>
    </xdr:from>
    <xdr:to>
      <xdr:col>10</xdr:col>
      <xdr:colOff>76623</xdr:colOff>
      <xdr:row>32</xdr:row>
      <xdr:rowOff>152102</xdr:rowOff>
    </xdr:to>
    <xdr:sp macro="" textlink="">
      <xdr:nvSpPr>
        <xdr:cNvPr id="91" name="Chevron 90"/>
        <xdr:cNvSpPr/>
      </xdr:nvSpPr>
      <xdr:spPr>
        <a:xfrm>
          <a:off x="6653248" y="6319967"/>
          <a:ext cx="1406232"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04</a:t>
          </a:r>
          <a:endParaRPr lang="fr-FR" sz="1100" b="1">
            <a:solidFill>
              <a:schemeClr val="bg1"/>
            </a:solidFill>
          </a:endParaRPr>
        </a:p>
      </xdr:txBody>
    </xdr:sp>
    <xdr:clientData/>
  </xdr:twoCellAnchor>
  <xdr:twoCellAnchor>
    <xdr:from>
      <xdr:col>15</xdr:col>
      <xdr:colOff>131374</xdr:colOff>
      <xdr:row>31</xdr:row>
      <xdr:rowOff>150279</xdr:rowOff>
    </xdr:from>
    <xdr:to>
      <xdr:col>16</xdr:col>
      <xdr:colOff>733515</xdr:colOff>
      <xdr:row>32</xdr:row>
      <xdr:rowOff>150985</xdr:rowOff>
    </xdr:to>
    <xdr:sp macro="" textlink="">
      <xdr:nvSpPr>
        <xdr:cNvPr id="92" name="Chevron 91"/>
        <xdr:cNvSpPr/>
      </xdr:nvSpPr>
      <xdr:spPr>
        <a:xfrm>
          <a:off x="12105660" y="6318850"/>
          <a:ext cx="1400426"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08</a:t>
          </a:r>
          <a:endParaRPr lang="fr-FR" sz="1100" b="1">
            <a:solidFill>
              <a:schemeClr val="bg1"/>
            </a:solidFill>
          </a:endParaRPr>
        </a:p>
      </xdr:txBody>
    </xdr:sp>
    <xdr:clientData/>
  </xdr:twoCellAnchor>
  <xdr:twoCellAnchor>
    <xdr:from>
      <xdr:col>18</xdr:col>
      <xdr:colOff>457764</xdr:colOff>
      <xdr:row>31</xdr:row>
      <xdr:rowOff>154540</xdr:rowOff>
    </xdr:from>
    <xdr:to>
      <xdr:col>20</xdr:col>
      <xdr:colOff>267425</xdr:colOff>
      <xdr:row>32</xdr:row>
      <xdr:rowOff>155246</xdr:rowOff>
    </xdr:to>
    <xdr:sp macro="" textlink="">
      <xdr:nvSpPr>
        <xdr:cNvPr id="93" name="Chevron 92"/>
        <xdr:cNvSpPr/>
      </xdr:nvSpPr>
      <xdr:spPr>
        <a:xfrm>
          <a:off x="14826907" y="6323111"/>
          <a:ext cx="1406232"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09</a:t>
          </a:r>
          <a:endParaRPr lang="fr-FR" sz="1100" b="1">
            <a:solidFill>
              <a:schemeClr val="bg1"/>
            </a:solidFill>
          </a:endParaRPr>
        </a:p>
      </xdr:txBody>
    </xdr:sp>
    <xdr:clientData/>
  </xdr:twoCellAnchor>
  <xdr:twoCellAnchor>
    <xdr:from>
      <xdr:col>11</xdr:col>
      <xdr:colOff>594848</xdr:colOff>
      <xdr:row>31</xdr:row>
      <xdr:rowOff>155286</xdr:rowOff>
    </xdr:from>
    <xdr:to>
      <xdr:col>13</xdr:col>
      <xdr:colOff>403911</xdr:colOff>
      <xdr:row>32</xdr:row>
      <xdr:rowOff>155992</xdr:rowOff>
    </xdr:to>
    <xdr:sp macro="" textlink="">
      <xdr:nvSpPr>
        <xdr:cNvPr id="94" name="Chevron 93"/>
        <xdr:cNvSpPr/>
      </xdr:nvSpPr>
      <xdr:spPr>
        <a:xfrm>
          <a:off x="9375991" y="6323857"/>
          <a:ext cx="1405634"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06</a:t>
          </a:r>
          <a:endParaRPr lang="fr-FR" sz="1100" b="1">
            <a:solidFill>
              <a:schemeClr val="bg1"/>
            </a:solidFill>
          </a:endParaRPr>
        </a:p>
      </xdr:txBody>
    </xdr:sp>
    <xdr:clientData/>
  </xdr:twoCellAnchor>
  <xdr:twoCellAnchor>
    <xdr:from>
      <xdr:col>20</xdr:col>
      <xdr:colOff>229762</xdr:colOff>
      <xdr:row>31</xdr:row>
      <xdr:rowOff>150652</xdr:rowOff>
    </xdr:from>
    <xdr:to>
      <xdr:col>22</xdr:col>
      <xdr:colOff>37555</xdr:colOff>
      <xdr:row>32</xdr:row>
      <xdr:rowOff>151358</xdr:rowOff>
    </xdr:to>
    <xdr:sp macro="" textlink="">
      <xdr:nvSpPr>
        <xdr:cNvPr id="95" name="Chevron 94"/>
        <xdr:cNvSpPr/>
      </xdr:nvSpPr>
      <xdr:spPr>
        <a:xfrm>
          <a:off x="16195476" y="6319223"/>
          <a:ext cx="1404365"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10</a:t>
          </a:r>
          <a:endParaRPr lang="fr-FR" sz="1100" b="1">
            <a:solidFill>
              <a:schemeClr val="bg1"/>
            </a:solidFill>
          </a:endParaRPr>
        </a:p>
      </xdr:txBody>
    </xdr:sp>
    <xdr:clientData/>
  </xdr:twoCellAnchor>
  <xdr:twoCellAnchor>
    <xdr:from>
      <xdr:col>22</xdr:col>
      <xdr:colOff>2138</xdr:colOff>
      <xdr:row>31</xdr:row>
      <xdr:rowOff>154908</xdr:rowOff>
    </xdr:from>
    <xdr:to>
      <xdr:col>23</xdr:col>
      <xdr:colOff>604280</xdr:colOff>
      <xdr:row>32</xdr:row>
      <xdr:rowOff>155614</xdr:rowOff>
    </xdr:to>
    <xdr:sp macro="" textlink="">
      <xdr:nvSpPr>
        <xdr:cNvPr id="96" name="Chevron 95"/>
        <xdr:cNvSpPr/>
      </xdr:nvSpPr>
      <xdr:spPr>
        <a:xfrm>
          <a:off x="17564424" y="6323479"/>
          <a:ext cx="1400427"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11</a:t>
          </a:r>
          <a:endParaRPr lang="fr-FR" sz="1100" b="1">
            <a:solidFill>
              <a:schemeClr val="bg1"/>
            </a:solidFill>
          </a:endParaRPr>
        </a:p>
      </xdr:txBody>
    </xdr:sp>
    <xdr:clientData/>
  </xdr:twoCellAnchor>
  <xdr:twoCellAnchor>
    <xdr:from>
      <xdr:col>6</xdr:col>
      <xdr:colOff>503182</xdr:colOff>
      <xdr:row>31</xdr:row>
      <xdr:rowOff>151396</xdr:rowOff>
    </xdr:from>
    <xdr:to>
      <xdr:col>8</xdr:col>
      <xdr:colOff>312843</xdr:colOff>
      <xdr:row>32</xdr:row>
      <xdr:rowOff>152102</xdr:rowOff>
    </xdr:to>
    <xdr:sp macro="" textlink="">
      <xdr:nvSpPr>
        <xdr:cNvPr id="98" name="Chevron 97"/>
        <xdr:cNvSpPr/>
      </xdr:nvSpPr>
      <xdr:spPr>
        <a:xfrm>
          <a:off x="5292896" y="6319967"/>
          <a:ext cx="1406233"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Prio</a:t>
          </a:r>
          <a:r>
            <a:rPr lang="fr-FR" sz="1100" b="1" baseline="0">
              <a:solidFill>
                <a:schemeClr val="bg1"/>
              </a:solidFill>
            </a:rPr>
            <a:t> 03</a:t>
          </a:r>
          <a:endParaRPr lang="fr-FR" sz="1100" b="1">
            <a:solidFill>
              <a:schemeClr val="bg1"/>
            </a:solidFill>
          </a:endParaRPr>
        </a:p>
      </xdr:txBody>
    </xdr:sp>
    <xdr:clientData/>
  </xdr:twoCellAnchor>
  <xdr:twoCellAnchor>
    <xdr:from>
      <xdr:col>16</xdr:col>
      <xdr:colOff>693682</xdr:colOff>
      <xdr:row>31</xdr:row>
      <xdr:rowOff>151396</xdr:rowOff>
    </xdr:from>
    <xdr:to>
      <xdr:col>18</xdr:col>
      <xdr:colOff>503343</xdr:colOff>
      <xdr:row>32</xdr:row>
      <xdr:rowOff>152102</xdr:rowOff>
    </xdr:to>
    <xdr:sp macro="" textlink="">
      <xdr:nvSpPr>
        <xdr:cNvPr id="99" name="Chevron 98"/>
        <xdr:cNvSpPr/>
      </xdr:nvSpPr>
      <xdr:spPr>
        <a:xfrm>
          <a:off x="13466253" y="6319967"/>
          <a:ext cx="1406233"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UAT 2</a:t>
          </a:r>
        </a:p>
      </xdr:txBody>
    </xdr:sp>
    <xdr:clientData/>
  </xdr:twoCellAnchor>
  <xdr:twoCellAnchor>
    <xdr:from>
      <xdr:col>25</xdr:col>
      <xdr:colOff>326862</xdr:colOff>
      <xdr:row>5</xdr:row>
      <xdr:rowOff>476584</xdr:rowOff>
    </xdr:from>
    <xdr:to>
      <xdr:col>25</xdr:col>
      <xdr:colOff>341013</xdr:colOff>
      <xdr:row>32</xdr:row>
      <xdr:rowOff>73727</xdr:rowOff>
    </xdr:to>
    <xdr:cxnSp macro="">
      <xdr:nvCxnSpPr>
        <xdr:cNvPr id="100" name="Connecteur droit 99"/>
        <xdr:cNvCxnSpPr/>
      </xdr:nvCxnSpPr>
      <xdr:spPr>
        <a:xfrm flipH="1">
          <a:off x="20284005" y="1383727"/>
          <a:ext cx="14151" cy="5040000"/>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564142</xdr:colOff>
      <xdr:row>31</xdr:row>
      <xdr:rowOff>151396</xdr:rowOff>
    </xdr:from>
    <xdr:to>
      <xdr:col>25</xdr:col>
      <xdr:colOff>373803</xdr:colOff>
      <xdr:row>32</xdr:row>
      <xdr:rowOff>152102</xdr:rowOff>
    </xdr:to>
    <xdr:sp macro="" textlink="">
      <xdr:nvSpPr>
        <xdr:cNvPr id="101" name="Chevron 100"/>
        <xdr:cNvSpPr/>
      </xdr:nvSpPr>
      <xdr:spPr>
        <a:xfrm>
          <a:off x="18924713" y="6319967"/>
          <a:ext cx="1406233"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UAT 3</a:t>
          </a:r>
        </a:p>
      </xdr:txBody>
    </xdr:sp>
    <xdr:clientData/>
  </xdr:twoCellAnchor>
  <xdr:twoCellAnchor>
    <xdr:from>
      <xdr:col>25</xdr:col>
      <xdr:colOff>335542</xdr:colOff>
      <xdr:row>31</xdr:row>
      <xdr:rowOff>151396</xdr:rowOff>
    </xdr:from>
    <xdr:to>
      <xdr:col>27</xdr:col>
      <xdr:colOff>145203</xdr:colOff>
      <xdr:row>32</xdr:row>
      <xdr:rowOff>152102</xdr:rowOff>
    </xdr:to>
    <xdr:sp macro="" textlink="">
      <xdr:nvSpPr>
        <xdr:cNvPr id="102" name="Chevron 101"/>
        <xdr:cNvSpPr/>
      </xdr:nvSpPr>
      <xdr:spPr>
        <a:xfrm>
          <a:off x="20292685" y="6319967"/>
          <a:ext cx="1406232" cy="182135"/>
        </a:xfrm>
        <a:prstGeom prst="chevron">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Stabilisation</a:t>
          </a:r>
        </a:p>
      </xdr:txBody>
    </xdr:sp>
    <xdr:clientData/>
  </xdr:twoCellAnchor>
  <xdr:twoCellAnchor>
    <xdr:from>
      <xdr:col>1</xdr:col>
      <xdr:colOff>401358</xdr:colOff>
      <xdr:row>18</xdr:row>
      <xdr:rowOff>16292</xdr:rowOff>
    </xdr:from>
    <xdr:to>
      <xdr:col>4</xdr:col>
      <xdr:colOff>698127</xdr:colOff>
      <xdr:row>20</xdr:row>
      <xdr:rowOff>54</xdr:rowOff>
    </xdr:to>
    <xdr:sp macro="" textlink="">
      <xdr:nvSpPr>
        <xdr:cNvPr id="7" name="Chevron 6"/>
        <xdr:cNvSpPr/>
      </xdr:nvSpPr>
      <xdr:spPr>
        <a:xfrm>
          <a:off x="1202435" y="3748138"/>
          <a:ext cx="2700000" cy="335454"/>
        </a:xfrm>
        <a:prstGeom prst="chevr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Event -</a:t>
          </a:r>
          <a:r>
            <a:rPr lang="fr-FR" sz="1400" b="1" baseline="0">
              <a:solidFill>
                <a:schemeClr val="bg1"/>
              </a:solidFill>
            </a:rPr>
            <a:t> </a:t>
          </a:r>
          <a:r>
            <a:rPr lang="fr-FR" sz="1400" b="1">
              <a:solidFill>
                <a:schemeClr val="bg1"/>
              </a:solidFill>
            </a:rPr>
            <a:t>Dashboard  Basic</a:t>
          </a:r>
        </a:p>
      </xdr:txBody>
    </xdr:sp>
    <xdr:clientData/>
  </xdr:twoCellAnchor>
  <xdr:twoCellAnchor>
    <xdr:from>
      <xdr:col>1</xdr:col>
      <xdr:colOff>425823</xdr:colOff>
      <xdr:row>20</xdr:row>
      <xdr:rowOff>55543</xdr:rowOff>
    </xdr:from>
    <xdr:to>
      <xdr:col>4</xdr:col>
      <xdr:colOff>722592</xdr:colOff>
      <xdr:row>22</xdr:row>
      <xdr:rowOff>42639</xdr:rowOff>
    </xdr:to>
    <xdr:sp macro="" textlink="">
      <xdr:nvSpPr>
        <xdr:cNvPr id="8" name="Chevron 7"/>
        <xdr:cNvSpPr/>
      </xdr:nvSpPr>
      <xdr:spPr>
        <a:xfrm>
          <a:off x="1226900" y="4139081"/>
          <a:ext cx="2700000" cy="338789"/>
        </a:xfrm>
        <a:prstGeom prst="chevron">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APP - Events (US  + Change + ANO )</a:t>
          </a:r>
        </a:p>
      </xdr:txBody>
    </xdr:sp>
    <xdr:clientData/>
  </xdr:twoCellAnchor>
  <xdr:twoCellAnchor>
    <xdr:from>
      <xdr:col>3</xdr:col>
      <xdr:colOff>111529</xdr:colOff>
      <xdr:row>24</xdr:row>
      <xdr:rowOff>4340</xdr:rowOff>
    </xdr:from>
    <xdr:to>
      <xdr:col>4</xdr:col>
      <xdr:colOff>753243</xdr:colOff>
      <xdr:row>25</xdr:row>
      <xdr:rowOff>163948</xdr:rowOff>
    </xdr:to>
    <xdr:sp macro="" textlink="">
      <xdr:nvSpPr>
        <xdr:cNvPr id="40" name="Chevron 39"/>
        <xdr:cNvSpPr/>
      </xdr:nvSpPr>
      <xdr:spPr>
        <a:xfrm>
          <a:off x="2506386" y="4358626"/>
          <a:ext cx="1440000" cy="341036"/>
        </a:xfrm>
        <a:prstGeom prst="chevr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900" b="1">
              <a:solidFill>
                <a:schemeClr val="bg1"/>
              </a:solidFill>
            </a:rPr>
            <a:t>Restau &amp; Drinks -</a:t>
          </a:r>
          <a:r>
            <a:rPr lang="fr-FR" sz="900" b="1" baseline="0">
              <a:solidFill>
                <a:schemeClr val="bg1"/>
              </a:solidFill>
            </a:rPr>
            <a:t> </a:t>
          </a:r>
          <a:r>
            <a:rPr lang="fr-FR" sz="900" b="1">
              <a:solidFill>
                <a:schemeClr val="bg1"/>
              </a:solidFill>
            </a:rPr>
            <a:t>Dashboard  Basic</a:t>
          </a:r>
        </a:p>
      </xdr:txBody>
    </xdr:sp>
    <xdr:clientData/>
  </xdr:twoCellAnchor>
  <xdr:twoCellAnchor>
    <xdr:from>
      <xdr:col>3</xdr:col>
      <xdr:colOff>135994</xdr:colOff>
      <xdr:row>26</xdr:row>
      <xdr:rowOff>58531</xdr:rowOff>
    </xdr:from>
    <xdr:to>
      <xdr:col>4</xdr:col>
      <xdr:colOff>777708</xdr:colOff>
      <xdr:row>28</xdr:row>
      <xdr:rowOff>45627</xdr:rowOff>
    </xdr:to>
    <xdr:sp macro="" textlink="">
      <xdr:nvSpPr>
        <xdr:cNvPr id="41" name="Chevron 40"/>
        <xdr:cNvSpPr/>
      </xdr:nvSpPr>
      <xdr:spPr>
        <a:xfrm>
          <a:off x="2530851" y="4775674"/>
          <a:ext cx="1440000" cy="349953"/>
        </a:xfrm>
        <a:prstGeom prst="chevron">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900" b="1">
              <a:solidFill>
                <a:schemeClr val="bg1"/>
              </a:solidFill>
            </a:rPr>
            <a:t>APP - Restau</a:t>
          </a:r>
          <a:r>
            <a:rPr lang="fr-FR" sz="900" b="1" baseline="0">
              <a:solidFill>
                <a:schemeClr val="bg1"/>
              </a:solidFill>
            </a:rPr>
            <a:t> &amp; Drinks </a:t>
          </a:r>
          <a:r>
            <a:rPr lang="fr-FR" sz="900" b="1">
              <a:solidFill>
                <a:schemeClr val="bg1"/>
              </a:solidFill>
            </a:rPr>
            <a:t> (US  + Change + ANO )</a:t>
          </a:r>
        </a:p>
      </xdr:txBody>
    </xdr:sp>
    <xdr:clientData/>
  </xdr:twoCellAnchor>
  <xdr:twoCellAnchor>
    <xdr:from>
      <xdr:col>10</xdr:col>
      <xdr:colOff>21856</xdr:colOff>
      <xdr:row>20</xdr:row>
      <xdr:rowOff>40198</xdr:rowOff>
    </xdr:from>
    <xdr:to>
      <xdr:col>16</xdr:col>
      <xdr:colOff>704142</xdr:colOff>
      <xdr:row>22</xdr:row>
      <xdr:rowOff>20512</xdr:rowOff>
    </xdr:to>
    <xdr:sp macro="" textlink="">
      <xdr:nvSpPr>
        <xdr:cNvPr id="50" name="Chevron 49"/>
        <xdr:cNvSpPr/>
      </xdr:nvSpPr>
      <xdr:spPr>
        <a:xfrm>
          <a:off x="8004713" y="3850198"/>
          <a:ext cx="5472000" cy="343171"/>
        </a:xfrm>
        <a:prstGeom prst="chevr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Event -</a:t>
          </a:r>
          <a:r>
            <a:rPr lang="fr-FR" sz="1400" b="1" baseline="0">
              <a:solidFill>
                <a:schemeClr val="bg1"/>
              </a:solidFill>
            </a:rPr>
            <a:t> </a:t>
          </a:r>
          <a:r>
            <a:rPr lang="fr-FR" sz="1400" b="1">
              <a:solidFill>
                <a:schemeClr val="bg1"/>
              </a:solidFill>
            </a:rPr>
            <a:t>Dashboard  Avancé</a:t>
          </a:r>
        </a:p>
      </xdr:txBody>
    </xdr:sp>
    <xdr:clientData/>
  </xdr:twoCellAnchor>
  <xdr:twoCellAnchor>
    <xdr:from>
      <xdr:col>10</xdr:col>
      <xdr:colOff>3929</xdr:colOff>
      <xdr:row>23</xdr:row>
      <xdr:rowOff>171681</xdr:rowOff>
    </xdr:from>
    <xdr:to>
      <xdr:col>16</xdr:col>
      <xdr:colOff>705467</xdr:colOff>
      <xdr:row>25</xdr:row>
      <xdr:rowOff>151995</xdr:rowOff>
    </xdr:to>
    <xdr:sp macro="" textlink="">
      <xdr:nvSpPr>
        <xdr:cNvPr id="48" name="Chevron 47"/>
        <xdr:cNvSpPr/>
      </xdr:nvSpPr>
      <xdr:spPr>
        <a:xfrm>
          <a:off x="8014698" y="4782758"/>
          <a:ext cx="5508000" cy="332006"/>
        </a:xfrm>
        <a:prstGeom prst="chevr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Restau &amp; Drinks -</a:t>
          </a:r>
          <a:r>
            <a:rPr lang="fr-FR" sz="1400" b="1" baseline="0">
              <a:solidFill>
                <a:schemeClr val="bg1"/>
              </a:solidFill>
            </a:rPr>
            <a:t> </a:t>
          </a:r>
          <a:r>
            <a:rPr lang="fr-FR" sz="1400" b="1">
              <a:solidFill>
                <a:schemeClr val="bg1"/>
              </a:solidFill>
            </a:rPr>
            <a:t>Dashboard  Avancé</a:t>
          </a:r>
        </a:p>
      </xdr:txBody>
    </xdr:sp>
    <xdr:clientData/>
  </xdr:twoCellAnchor>
  <xdr:twoCellAnchor>
    <xdr:from>
      <xdr:col>6</xdr:col>
      <xdr:colOff>455168</xdr:colOff>
      <xdr:row>26</xdr:row>
      <xdr:rowOff>61519</xdr:rowOff>
    </xdr:from>
    <xdr:to>
      <xdr:col>16</xdr:col>
      <xdr:colOff>680311</xdr:colOff>
      <xdr:row>28</xdr:row>
      <xdr:rowOff>48615</xdr:rowOff>
    </xdr:to>
    <xdr:sp macro="" textlink="">
      <xdr:nvSpPr>
        <xdr:cNvPr id="49" name="Chevron 48"/>
        <xdr:cNvSpPr/>
      </xdr:nvSpPr>
      <xdr:spPr>
        <a:xfrm>
          <a:off x="5244882" y="4778662"/>
          <a:ext cx="8208000" cy="349953"/>
        </a:xfrm>
        <a:prstGeom prst="chevron">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Notifications</a:t>
          </a:r>
          <a:r>
            <a:rPr lang="fr-FR" sz="1400" b="1" baseline="0">
              <a:solidFill>
                <a:schemeClr val="bg1"/>
              </a:solidFill>
            </a:rPr>
            <a:t> &amp; Tracking Data &amp; AI Agent</a:t>
          </a:r>
          <a:endParaRPr lang="fr-FR" sz="1400" b="1">
            <a:solidFill>
              <a:schemeClr val="bg1"/>
            </a:solidFill>
          </a:endParaRPr>
        </a:p>
      </xdr:txBody>
    </xdr:sp>
    <xdr:clientData/>
  </xdr:twoCellAnchor>
  <xdr:twoCellAnchor>
    <xdr:from>
      <xdr:col>18</xdr:col>
      <xdr:colOff>433355</xdr:colOff>
      <xdr:row>26</xdr:row>
      <xdr:rowOff>71044</xdr:rowOff>
    </xdr:from>
    <xdr:to>
      <xdr:col>23</xdr:col>
      <xdr:colOff>581927</xdr:colOff>
      <xdr:row>28</xdr:row>
      <xdr:rowOff>58140</xdr:rowOff>
    </xdr:to>
    <xdr:sp macro="" textlink="">
      <xdr:nvSpPr>
        <xdr:cNvPr id="97" name="Chevron 96"/>
        <xdr:cNvSpPr/>
      </xdr:nvSpPr>
      <xdr:spPr>
        <a:xfrm>
          <a:off x="14802498" y="4788187"/>
          <a:ext cx="4140000" cy="349953"/>
        </a:xfrm>
        <a:prstGeom prst="chevron">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Fidélité &amp;</a:t>
          </a:r>
          <a:r>
            <a:rPr lang="fr-FR" sz="1400" b="1" baseline="0">
              <a:solidFill>
                <a:schemeClr val="bg1"/>
              </a:solidFill>
            </a:rPr>
            <a:t> Réseau social</a:t>
          </a:r>
          <a:endParaRPr lang="fr-FR" sz="1400" b="1">
            <a:solidFill>
              <a:schemeClr val="bg1"/>
            </a:solidFill>
          </a:endParaRPr>
        </a:p>
      </xdr:txBody>
    </xdr:sp>
    <xdr:clientData/>
  </xdr:twoCellAnchor>
  <xdr:twoCellAnchor>
    <xdr:from>
      <xdr:col>1</xdr:col>
      <xdr:colOff>345155</xdr:colOff>
      <xdr:row>29</xdr:row>
      <xdr:rowOff>23542</xdr:rowOff>
    </xdr:from>
    <xdr:to>
      <xdr:col>27</xdr:col>
      <xdr:colOff>145727</xdr:colOff>
      <xdr:row>30</xdr:row>
      <xdr:rowOff>112878</xdr:rowOff>
    </xdr:to>
    <xdr:sp macro="" textlink="">
      <xdr:nvSpPr>
        <xdr:cNvPr id="31" name="Chevron 30"/>
        <xdr:cNvSpPr/>
      </xdr:nvSpPr>
      <xdr:spPr>
        <a:xfrm>
          <a:off x="1143441" y="5829256"/>
          <a:ext cx="20556000" cy="270765"/>
        </a:xfrm>
        <a:prstGeom prst="chevron">
          <a:avLst/>
        </a:prstGeom>
        <a:solidFill>
          <a:srgbClr val="15B1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solidFill>
                <a:schemeClr val="bg1"/>
              </a:solidFill>
            </a:rPr>
            <a:t>Pilotage</a:t>
          </a:r>
        </a:p>
      </xdr:txBody>
    </xdr:sp>
    <xdr:clientData/>
  </xdr:twoCellAnchor>
  <xdr:twoCellAnchor>
    <xdr:from>
      <xdr:col>26</xdr:col>
      <xdr:colOff>336795</xdr:colOff>
      <xdr:row>4</xdr:row>
      <xdr:rowOff>161</xdr:rowOff>
    </xdr:from>
    <xdr:to>
      <xdr:col>27</xdr:col>
      <xdr:colOff>519975</xdr:colOff>
      <xdr:row>5</xdr:row>
      <xdr:rowOff>178732</xdr:rowOff>
    </xdr:to>
    <xdr:sp macro="" textlink="">
      <xdr:nvSpPr>
        <xdr:cNvPr id="103" name="Rectangle 102"/>
        <xdr:cNvSpPr/>
      </xdr:nvSpPr>
      <xdr:spPr>
        <a:xfrm>
          <a:off x="21092224" y="725875"/>
          <a:ext cx="981465" cy="3600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200" b="1">
              <a:solidFill>
                <a:schemeClr val="lt1"/>
              </a:solidFill>
              <a:latin typeface="+mn-lt"/>
              <a:ea typeface="+mn-ea"/>
              <a:cs typeface="+mn-cs"/>
            </a:rPr>
            <a:t>02/07/2007</a:t>
          </a:r>
        </a:p>
      </xdr:txBody>
    </xdr:sp>
    <xdr:clientData/>
  </xdr:twoCellAnchor>
  <xdr:twoCellAnchor>
    <xdr:from>
      <xdr:col>26</xdr:col>
      <xdr:colOff>340828</xdr:colOff>
      <xdr:row>7</xdr:row>
      <xdr:rowOff>160226</xdr:rowOff>
    </xdr:from>
    <xdr:to>
      <xdr:col>27</xdr:col>
      <xdr:colOff>543629</xdr:colOff>
      <xdr:row>13</xdr:row>
      <xdr:rowOff>146885</xdr:rowOff>
    </xdr:to>
    <xdr:sp macro="" textlink="">
      <xdr:nvSpPr>
        <xdr:cNvPr id="104" name="Losange 103"/>
        <xdr:cNvSpPr/>
      </xdr:nvSpPr>
      <xdr:spPr>
        <a:xfrm>
          <a:off x="21096257" y="1793083"/>
          <a:ext cx="1001086" cy="1256659"/>
        </a:xfrm>
        <a:prstGeom prst="diamond">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200" b="1"/>
            <a:t>GO</a:t>
          </a:r>
          <a:r>
            <a:rPr lang="fr-FR" sz="1200" b="1" baseline="0"/>
            <a:t> live</a:t>
          </a:r>
          <a:endParaRPr lang="fr-FR"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1</xdr:row>
      <xdr:rowOff>99060</xdr:rowOff>
    </xdr:from>
    <xdr:to>
      <xdr:col>11</xdr:col>
      <xdr:colOff>358903</xdr:colOff>
      <xdr:row>20</xdr:row>
      <xdr:rowOff>293</xdr:rowOff>
    </xdr:to>
    <xdr:pic>
      <xdr:nvPicPr>
        <xdr:cNvPr id="2" name="Image 1"/>
        <xdr:cNvPicPr>
          <a:picLocks noChangeAspect="1"/>
        </xdr:cNvPicPr>
      </xdr:nvPicPr>
      <xdr:blipFill>
        <a:blip xmlns:r="http://schemas.openxmlformats.org/officeDocument/2006/relationships" r:embed="rId1"/>
        <a:stretch>
          <a:fillRect/>
        </a:stretch>
      </xdr:blipFill>
      <xdr:spPr>
        <a:xfrm>
          <a:off x="266700" y="281940"/>
          <a:ext cx="8809483" cy="3375953"/>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4"/>
  <sheetViews>
    <sheetView workbookViewId="0">
      <selection activeCell="I17" sqref="I17"/>
    </sheetView>
  </sheetViews>
  <sheetFormatPr baseColWidth="10" defaultRowHeight="14.4" x14ac:dyDescent="0.3"/>
  <cols>
    <col min="2" max="2" width="23" bestFit="1" customWidth="1"/>
  </cols>
  <sheetData>
    <row r="3" spans="2:8" ht="14.4" customHeight="1" x14ac:dyDescent="0.3">
      <c r="D3" s="19" t="s">
        <v>14</v>
      </c>
      <c r="E3" s="20"/>
      <c r="F3" s="20"/>
      <c r="G3" s="21"/>
      <c r="H3" s="22" t="s">
        <v>13</v>
      </c>
    </row>
    <row r="4" spans="2:8" ht="28.8" x14ac:dyDescent="0.3">
      <c r="D4" s="4" t="s">
        <v>9</v>
      </c>
      <c r="E4" s="4" t="s">
        <v>10</v>
      </c>
      <c r="F4" s="4" t="s">
        <v>11</v>
      </c>
      <c r="G4" s="4" t="s">
        <v>12</v>
      </c>
      <c r="H4" s="23"/>
    </row>
    <row r="5" spans="2:8" x14ac:dyDescent="0.3">
      <c r="B5" s="24" t="s">
        <v>8</v>
      </c>
      <c r="C5" s="5" t="s">
        <v>0</v>
      </c>
      <c r="D5" s="1" t="e">
        <f>+SUM(#REF!,#REF!)*50%*1000</f>
        <v>#REF!</v>
      </c>
      <c r="E5" s="1" t="e">
        <f>+SUM(#REF!,#REF!)*35%*1000</f>
        <v>#REF!</v>
      </c>
      <c r="F5" s="1" t="e">
        <f>+SUM(#REF!,#REF!)*15%*2000</f>
        <v>#REF!</v>
      </c>
      <c r="G5" s="1" t="e">
        <f>(#REF!+#REF!)*2000</f>
        <v>#REF!</v>
      </c>
      <c r="H5" s="1" t="e">
        <f>+#REF!-SUM('Cost &amp; Revenu'!D5:G5)</f>
        <v>#REF!</v>
      </c>
    </row>
    <row r="6" spans="2:8" x14ac:dyDescent="0.3">
      <c r="B6" s="24"/>
      <c r="C6" s="5" t="s">
        <v>1</v>
      </c>
      <c r="D6" s="1" t="e">
        <f>+SUM(#REF!,#REF!)*50%*1000</f>
        <v>#REF!</v>
      </c>
      <c r="E6" s="1" t="e">
        <f>+SUM(#REF!,#REF!)*35%*1000</f>
        <v>#REF!</v>
      </c>
      <c r="F6" s="1" t="e">
        <f>+SUM(#REF!,#REF!)*15%*2000</f>
        <v>#REF!</v>
      </c>
      <c r="G6" s="1" t="e">
        <f>(#REF!+#REF!)*2000</f>
        <v>#REF!</v>
      </c>
      <c r="H6" s="1" t="e">
        <f>+#REF!-SUM('Cost &amp; Revenu'!D6:G6)</f>
        <v>#REF!</v>
      </c>
    </row>
    <row r="7" spans="2:8" x14ac:dyDescent="0.3">
      <c r="D7" s="1"/>
      <c r="E7" s="1"/>
      <c r="F7" s="1"/>
      <c r="G7" s="1"/>
      <c r="H7" s="1"/>
    </row>
    <row r="8" spans="2:8" x14ac:dyDescent="0.3">
      <c r="B8" s="17" t="s">
        <v>2</v>
      </c>
      <c r="C8" s="17"/>
      <c r="D8" s="1" t="e">
        <f>+SUM(#REF!,#REF!)*50%*1000</f>
        <v>#REF!</v>
      </c>
      <c r="E8" s="1" t="e">
        <f>+SUM(#REF!,#REF!)*35%*1000</f>
        <v>#REF!</v>
      </c>
      <c r="F8" s="1" t="e">
        <f>+SUM(#REF!,#REF!)*15%*2000</f>
        <v>#REF!</v>
      </c>
      <c r="G8" s="1" t="e">
        <f>(#REF!+#REF!)*2000</f>
        <v>#REF!</v>
      </c>
      <c r="H8" s="1" t="e">
        <f>+#REF!-SUM('Cost &amp; Revenu'!D8:G8)</f>
        <v>#REF!</v>
      </c>
    </row>
    <row r="9" spans="2:8" x14ac:dyDescent="0.3">
      <c r="B9" s="3"/>
      <c r="C9" s="3"/>
      <c r="D9" s="1"/>
      <c r="E9" s="1"/>
      <c r="F9" s="1"/>
      <c r="G9" s="1"/>
      <c r="H9" s="1"/>
    </row>
    <row r="10" spans="2:8" x14ac:dyDescent="0.3">
      <c r="B10" s="17" t="s">
        <v>7</v>
      </c>
      <c r="C10" s="17"/>
      <c r="D10" s="1" t="e">
        <f>+SUM(#REF!,#REF!)*50%*1000</f>
        <v>#REF!</v>
      </c>
      <c r="E10" s="1" t="e">
        <f>+SUM(#REF!,#REF!)*35%*1000</f>
        <v>#REF!</v>
      </c>
      <c r="F10" s="1" t="e">
        <f>+SUM(#REF!,#REF!)*15%*2000</f>
        <v>#REF!</v>
      </c>
      <c r="G10" s="1" t="e">
        <f>(#REF!+#REF!)*2000</f>
        <v>#REF!</v>
      </c>
      <c r="H10" s="1" t="e">
        <f>+#REF!-SUM('Cost &amp; Revenu'!D10:G10)</f>
        <v>#REF!</v>
      </c>
    </row>
    <row r="11" spans="2:8" x14ac:dyDescent="0.3">
      <c r="D11" s="1"/>
      <c r="E11" s="1"/>
      <c r="F11" s="1"/>
      <c r="G11" s="1"/>
      <c r="H11" s="1"/>
    </row>
    <row r="12" spans="2:8" x14ac:dyDescent="0.3">
      <c r="B12" s="18" t="s">
        <v>5</v>
      </c>
      <c r="C12" s="18"/>
      <c r="D12" s="7" t="e">
        <f>SUM(D5:D10)</f>
        <v>#REF!</v>
      </c>
      <c r="E12" s="7" t="e">
        <f>SUM(E5:E10)</f>
        <v>#REF!</v>
      </c>
      <c r="F12" s="7" t="e">
        <f>SUM(F5:F10)</f>
        <v>#REF!</v>
      </c>
      <c r="G12" s="7" t="e">
        <f>SUM(G5:G10)</f>
        <v>#REF!</v>
      </c>
      <c r="H12" s="7" t="e">
        <f>SUM(H5:H10)</f>
        <v>#REF!</v>
      </c>
    </row>
    <row r="14" spans="2:8" x14ac:dyDescent="0.3">
      <c r="H14" s="8" t="e">
        <f>H12/#REF!</f>
        <v>#REF!</v>
      </c>
    </row>
  </sheetData>
  <mergeCells count="6">
    <mergeCell ref="B10:C10"/>
    <mergeCell ref="B12:C12"/>
    <mergeCell ref="D3:G3"/>
    <mergeCell ref="H3:H4"/>
    <mergeCell ref="B5:B6"/>
    <mergeCell ref="B8: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15"/>
  <sheetViews>
    <sheetView workbookViewId="0">
      <selection activeCell="E22" sqref="E22"/>
    </sheetView>
  </sheetViews>
  <sheetFormatPr baseColWidth="10" defaultRowHeight="14.4" x14ac:dyDescent="0.3"/>
  <sheetData>
    <row r="3" spans="2:13" ht="14.4" customHeight="1" x14ac:dyDescent="0.3">
      <c r="D3" s="24" t="s">
        <v>15</v>
      </c>
      <c r="E3" s="24"/>
      <c r="F3" s="24" t="s">
        <v>6</v>
      </c>
    </row>
    <row r="4" spans="2:13" ht="28.8" x14ac:dyDescent="0.3">
      <c r="D4" s="4" t="s">
        <v>3</v>
      </c>
      <c r="E4" s="4" t="s">
        <v>4</v>
      </c>
      <c r="F4" s="24"/>
      <c r="L4" t="s">
        <v>27</v>
      </c>
    </row>
    <row r="5" spans="2:13" ht="28.8" x14ac:dyDescent="0.3">
      <c r="B5" s="9" t="s">
        <v>16</v>
      </c>
      <c r="C5" s="5" t="s">
        <v>1</v>
      </c>
      <c r="D5">
        <v>5.5</v>
      </c>
      <c r="E5">
        <f>+D5*10%</f>
        <v>0.55000000000000004</v>
      </c>
      <c r="F5">
        <f>SUM(D5:E5)</f>
        <v>6.05</v>
      </c>
      <c r="G5">
        <f>+F5/2</f>
        <v>3.0249999999999999</v>
      </c>
      <c r="H5" t="s">
        <v>18</v>
      </c>
      <c r="L5">
        <v>8</v>
      </c>
    </row>
    <row r="7" spans="2:13" x14ac:dyDescent="0.3">
      <c r="B7" s="17" t="s">
        <v>2</v>
      </c>
      <c r="C7" s="17"/>
      <c r="D7">
        <v>29.5</v>
      </c>
      <c r="E7">
        <f>+D7*10%</f>
        <v>2.95</v>
      </c>
      <c r="F7">
        <f>SUM(D7:E7)</f>
        <v>32.450000000000003</v>
      </c>
      <c r="G7">
        <f>+F7/2</f>
        <v>16.225000000000001</v>
      </c>
      <c r="H7" t="s">
        <v>18</v>
      </c>
      <c r="L7">
        <v>8</v>
      </c>
    </row>
    <row r="8" spans="2:13" x14ac:dyDescent="0.3">
      <c r="B8" s="3"/>
      <c r="C8" s="3"/>
      <c r="L8">
        <v>8</v>
      </c>
      <c r="M8" t="s">
        <v>28</v>
      </c>
    </row>
    <row r="9" spans="2:13" x14ac:dyDescent="0.3">
      <c r="B9" s="17" t="s">
        <v>7</v>
      </c>
      <c r="C9" s="17"/>
      <c r="D9">
        <f>44.275*2</f>
        <v>88.55</v>
      </c>
      <c r="E9">
        <f>+D9*10%</f>
        <v>8.8550000000000004</v>
      </c>
      <c r="F9">
        <f>SUM(D9:E9)</f>
        <v>97.405000000000001</v>
      </c>
      <c r="G9">
        <f>+F9/2</f>
        <v>48.702500000000001</v>
      </c>
      <c r="I9" t="s">
        <v>21</v>
      </c>
      <c r="J9" t="s">
        <v>22</v>
      </c>
      <c r="K9" t="s">
        <v>23</v>
      </c>
      <c r="L9">
        <v>37</v>
      </c>
      <c r="M9" t="s">
        <v>29</v>
      </c>
    </row>
    <row r="10" spans="2:13" x14ac:dyDescent="0.3">
      <c r="B10" s="10"/>
      <c r="C10" s="10"/>
      <c r="L10">
        <v>38</v>
      </c>
      <c r="M10" t="s">
        <v>30</v>
      </c>
    </row>
    <row r="11" spans="2:13" x14ac:dyDescent="0.3">
      <c r="B11" s="17" t="s">
        <v>17</v>
      </c>
      <c r="C11" s="17"/>
      <c r="D11">
        <v>20</v>
      </c>
      <c r="E11">
        <f>+D11*10%</f>
        <v>2</v>
      </c>
      <c r="F11">
        <f>SUM(D11:E11)</f>
        <v>22</v>
      </c>
      <c r="G11">
        <f>+F11/2</f>
        <v>11</v>
      </c>
      <c r="H11" t="s">
        <v>19</v>
      </c>
      <c r="I11" t="s">
        <v>20</v>
      </c>
      <c r="L11">
        <v>15</v>
      </c>
    </row>
    <row r="13" spans="2:13" x14ac:dyDescent="0.3">
      <c r="B13" s="18" t="s">
        <v>5</v>
      </c>
      <c r="C13" s="18"/>
      <c r="D13" s="6">
        <f>SUM(D5:D11)</f>
        <v>143.55000000000001</v>
      </c>
      <c r="E13" s="6">
        <f>SUM(E5:E11)</f>
        <v>14.355</v>
      </c>
      <c r="F13" s="6">
        <f>SUM(F5:F11)</f>
        <v>157.905</v>
      </c>
      <c r="G13">
        <f>+F13/2</f>
        <v>78.952500000000001</v>
      </c>
      <c r="H13">
        <f>+G13/5/3</f>
        <v>5.2634999999999996</v>
      </c>
    </row>
    <row r="14" spans="2:13" x14ac:dyDescent="0.3">
      <c r="J14">
        <f>G9/4/3</f>
        <v>4.0585416666666667</v>
      </c>
      <c r="L14">
        <f>+SUM(L5:L12)</f>
        <v>114</v>
      </c>
    </row>
    <row r="15" spans="2:13" x14ac:dyDescent="0.3">
      <c r="L15">
        <f>L14/38</f>
        <v>3</v>
      </c>
    </row>
  </sheetData>
  <mergeCells count="6">
    <mergeCell ref="B9:C9"/>
    <mergeCell ref="B13:C13"/>
    <mergeCell ref="B11:C11"/>
    <mergeCell ref="D3:E3"/>
    <mergeCell ref="F3:F4"/>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7:Y114"/>
  <sheetViews>
    <sheetView tabSelected="1" zoomScale="63" workbookViewId="0">
      <selection activeCell="Z2" sqref="Z2"/>
    </sheetView>
  </sheetViews>
  <sheetFormatPr baseColWidth="10" defaultRowHeight="14.4" x14ac:dyDescent="0.3"/>
  <sheetData>
    <row r="37" spans="3:25" ht="43.2" x14ac:dyDescent="0.3">
      <c r="C37" s="11" t="s">
        <v>24</v>
      </c>
      <c r="D37" s="12" t="s">
        <v>25</v>
      </c>
      <c r="E37" s="12" t="s">
        <v>26</v>
      </c>
      <c r="F37" s="25" t="s">
        <v>47</v>
      </c>
      <c r="G37" s="25"/>
      <c r="H37" s="25"/>
      <c r="I37" s="25"/>
      <c r="J37" s="25"/>
      <c r="K37" s="25"/>
      <c r="L37" s="25"/>
      <c r="M37" s="25"/>
      <c r="N37" s="25"/>
      <c r="O37" s="25"/>
      <c r="P37" s="25" t="s">
        <v>48</v>
      </c>
      <c r="Q37" s="25"/>
      <c r="R37" s="25"/>
      <c r="S37" s="25"/>
      <c r="T37" s="25"/>
      <c r="U37" s="25"/>
      <c r="V37" s="25"/>
      <c r="W37" s="25"/>
      <c r="X37" s="25"/>
      <c r="Y37" s="25"/>
    </row>
    <row r="38" spans="3:25" ht="119.4" customHeight="1" x14ac:dyDescent="0.3">
      <c r="C38" s="14" t="s">
        <v>41</v>
      </c>
      <c r="D38" s="15">
        <v>46286</v>
      </c>
      <c r="E38" s="15">
        <f>D38+18</f>
        <v>46304</v>
      </c>
      <c r="F38" s="27" t="s">
        <v>49</v>
      </c>
      <c r="G38" s="27"/>
      <c r="H38" s="27"/>
      <c r="I38" s="27"/>
      <c r="J38" s="27"/>
      <c r="K38" s="27"/>
      <c r="L38" s="27"/>
      <c r="M38" s="27"/>
      <c r="N38" s="27"/>
      <c r="O38" s="27"/>
      <c r="P38" s="27" t="s">
        <v>50</v>
      </c>
      <c r="Q38" s="27"/>
      <c r="R38" s="27"/>
      <c r="S38" s="27"/>
      <c r="T38" s="27"/>
      <c r="U38" s="27"/>
      <c r="V38" s="27"/>
      <c r="W38" s="27"/>
      <c r="X38" s="27"/>
      <c r="Y38" s="27"/>
    </row>
    <row r="39" spans="3:25" ht="207.6" customHeight="1" x14ac:dyDescent="0.3">
      <c r="C39" s="14" t="s">
        <v>42</v>
      </c>
      <c r="D39" s="15">
        <f>E38+3</f>
        <v>46307</v>
      </c>
      <c r="E39" s="15">
        <f>+D39+18</f>
        <v>46325</v>
      </c>
      <c r="F39" s="27" t="s">
        <v>51</v>
      </c>
      <c r="G39" s="27"/>
      <c r="H39" s="27"/>
      <c r="I39" s="27"/>
      <c r="J39" s="27"/>
      <c r="K39" s="27"/>
      <c r="L39" s="27"/>
      <c r="M39" s="27"/>
      <c r="N39" s="27"/>
      <c r="O39" s="27"/>
      <c r="P39" s="27" t="s">
        <v>53</v>
      </c>
      <c r="Q39" s="27"/>
      <c r="R39" s="27"/>
      <c r="S39" s="27"/>
      <c r="T39" s="27"/>
      <c r="U39" s="27"/>
      <c r="V39" s="27"/>
      <c r="W39" s="27"/>
      <c r="X39" s="27"/>
      <c r="Y39" s="27"/>
    </row>
    <row r="40" spans="3:25" ht="22.8" customHeight="1" x14ac:dyDescent="0.3">
      <c r="C40" s="115" t="s">
        <v>31</v>
      </c>
      <c r="D40" s="116">
        <f>+E39+3</f>
        <v>46328</v>
      </c>
      <c r="E40" s="116">
        <f>+D40+4</f>
        <v>46332</v>
      </c>
      <c r="F40" s="26"/>
      <c r="G40" s="26"/>
      <c r="H40" s="26"/>
      <c r="I40" s="26"/>
      <c r="J40" s="26"/>
      <c r="K40" s="26"/>
      <c r="L40" s="26"/>
      <c r="M40" s="26"/>
      <c r="N40" s="26"/>
      <c r="O40" s="26"/>
      <c r="P40" s="26"/>
      <c r="Q40" s="26"/>
      <c r="R40" s="26"/>
      <c r="S40" s="26"/>
      <c r="T40" s="26"/>
      <c r="U40" s="26"/>
      <c r="V40" s="26"/>
      <c r="W40" s="26"/>
      <c r="X40" s="26"/>
      <c r="Y40" s="26"/>
    </row>
    <row r="41" spans="3:25" ht="50.4" customHeight="1" x14ac:dyDescent="0.3">
      <c r="C41" s="14" t="s">
        <v>43</v>
      </c>
      <c r="D41" s="15">
        <f t="shared" ref="D41:D52" si="0">+E40+3</f>
        <v>46335</v>
      </c>
      <c r="E41" s="15">
        <f t="shared" ref="E41:E50" si="1">+D41+18</f>
        <v>46353</v>
      </c>
      <c r="F41" s="27" t="s">
        <v>52</v>
      </c>
      <c r="G41" s="27"/>
      <c r="H41" s="27"/>
      <c r="I41" s="27"/>
      <c r="J41" s="27"/>
      <c r="K41" s="27"/>
      <c r="L41" s="27"/>
      <c r="M41" s="27"/>
      <c r="N41" s="27"/>
      <c r="O41" s="27"/>
      <c r="P41" s="27" t="s">
        <v>54</v>
      </c>
      <c r="Q41" s="27"/>
      <c r="R41" s="27"/>
      <c r="S41" s="27"/>
      <c r="T41" s="27"/>
      <c r="U41" s="27"/>
      <c r="V41" s="27"/>
      <c r="W41" s="27"/>
      <c r="X41" s="27"/>
      <c r="Y41" s="27"/>
    </row>
    <row r="42" spans="3:25" ht="43.8" customHeight="1" x14ac:dyDescent="0.3">
      <c r="C42" s="14" t="s">
        <v>44</v>
      </c>
      <c r="D42" s="15">
        <f t="shared" si="0"/>
        <v>46356</v>
      </c>
      <c r="E42" s="15">
        <f t="shared" si="1"/>
        <v>46374</v>
      </c>
      <c r="F42" s="27" t="s">
        <v>55</v>
      </c>
      <c r="G42" s="27"/>
      <c r="H42" s="27"/>
      <c r="I42" s="27"/>
      <c r="J42" s="27"/>
      <c r="K42" s="27"/>
      <c r="L42" s="27"/>
      <c r="M42" s="27"/>
      <c r="N42" s="27"/>
      <c r="O42" s="27"/>
      <c r="P42" s="27"/>
      <c r="Q42" s="27"/>
      <c r="R42" s="27"/>
      <c r="S42" s="27"/>
      <c r="T42" s="27"/>
      <c r="U42" s="27"/>
      <c r="V42" s="27"/>
      <c r="W42" s="27"/>
      <c r="X42" s="27"/>
      <c r="Y42" s="27"/>
    </row>
    <row r="43" spans="3:25" ht="58.8" customHeight="1" x14ac:dyDescent="0.3">
      <c r="C43" s="14" t="s">
        <v>32</v>
      </c>
      <c r="D43" s="15">
        <f t="shared" si="0"/>
        <v>46377</v>
      </c>
      <c r="E43" s="15">
        <f t="shared" si="1"/>
        <v>46395</v>
      </c>
      <c r="F43" s="27" t="s">
        <v>56</v>
      </c>
      <c r="G43" s="27"/>
      <c r="H43" s="27"/>
      <c r="I43" s="27"/>
      <c r="J43" s="27"/>
      <c r="K43" s="27"/>
      <c r="L43" s="27"/>
      <c r="M43" s="27"/>
      <c r="N43" s="27"/>
      <c r="O43" s="27"/>
      <c r="P43" s="27" t="s">
        <v>57</v>
      </c>
      <c r="Q43" s="27"/>
      <c r="R43" s="27"/>
      <c r="S43" s="27"/>
      <c r="T43" s="27"/>
      <c r="U43" s="27"/>
      <c r="V43" s="27"/>
      <c r="W43" s="27"/>
      <c r="X43" s="27"/>
      <c r="Y43" s="27"/>
    </row>
    <row r="44" spans="3:25" ht="84" customHeight="1" x14ac:dyDescent="0.3">
      <c r="C44" s="14" t="s">
        <v>33</v>
      </c>
      <c r="D44" s="15">
        <f t="shared" si="0"/>
        <v>46398</v>
      </c>
      <c r="E44" s="15">
        <f t="shared" si="1"/>
        <v>46416</v>
      </c>
      <c r="F44" s="27" t="s">
        <v>59</v>
      </c>
      <c r="G44" s="27"/>
      <c r="H44" s="27"/>
      <c r="I44" s="27"/>
      <c r="J44" s="27"/>
      <c r="K44" s="27"/>
      <c r="L44" s="27"/>
      <c r="M44" s="27"/>
      <c r="N44" s="27"/>
      <c r="O44" s="27"/>
      <c r="P44" s="27" t="s">
        <v>58</v>
      </c>
      <c r="Q44" s="27"/>
      <c r="R44" s="27"/>
      <c r="S44" s="27"/>
      <c r="T44" s="27"/>
      <c r="U44" s="27"/>
      <c r="V44" s="27"/>
      <c r="W44" s="27"/>
      <c r="X44" s="27"/>
      <c r="Y44" s="27"/>
    </row>
    <row r="45" spans="3:25" ht="84.6" customHeight="1" x14ac:dyDescent="0.3">
      <c r="C45" s="14" t="s">
        <v>34</v>
      </c>
      <c r="D45" s="15">
        <f t="shared" si="0"/>
        <v>46419</v>
      </c>
      <c r="E45" s="15">
        <f t="shared" si="1"/>
        <v>46437</v>
      </c>
      <c r="F45" s="27" t="s">
        <v>60</v>
      </c>
      <c r="G45" s="27"/>
      <c r="H45" s="27"/>
      <c r="I45" s="27"/>
      <c r="J45" s="27"/>
      <c r="K45" s="27"/>
      <c r="L45" s="27"/>
      <c r="M45" s="27"/>
      <c r="N45" s="27"/>
      <c r="O45" s="27"/>
      <c r="P45" s="27" t="s">
        <v>61</v>
      </c>
      <c r="Q45" s="27"/>
      <c r="R45" s="27"/>
      <c r="S45" s="27"/>
      <c r="T45" s="27"/>
      <c r="U45" s="27"/>
      <c r="V45" s="27"/>
      <c r="W45" s="27"/>
      <c r="X45" s="27"/>
      <c r="Y45" s="27"/>
    </row>
    <row r="46" spans="3:25" ht="37.799999999999997" customHeight="1" x14ac:dyDescent="0.3">
      <c r="C46" s="14" t="s">
        <v>35</v>
      </c>
      <c r="D46" s="15">
        <f t="shared" si="0"/>
        <v>46440</v>
      </c>
      <c r="E46" s="15">
        <f t="shared" si="1"/>
        <v>46458</v>
      </c>
      <c r="F46" s="27" t="s">
        <v>62</v>
      </c>
      <c r="G46" s="27"/>
      <c r="H46" s="27"/>
      <c r="I46" s="27"/>
      <c r="J46" s="27"/>
      <c r="K46" s="27"/>
      <c r="L46" s="27"/>
      <c r="M46" s="27"/>
      <c r="N46" s="27"/>
      <c r="O46" s="27"/>
      <c r="P46" s="27" t="s">
        <v>63</v>
      </c>
      <c r="Q46" s="27"/>
      <c r="R46" s="27"/>
      <c r="S46" s="27"/>
      <c r="T46" s="27"/>
      <c r="U46" s="27"/>
      <c r="V46" s="27"/>
      <c r="W46" s="27"/>
      <c r="X46" s="27"/>
      <c r="Y46" s="27"/>
    </row>
    <row r="47" spans="3:25" ht="22.8" customHeight="1" x14ac:dyDescent="0.3">
      <c r="C47" s="115" t="s">
        <v>36</v>
      </c>
      <c r="D47" s="116">
        <f t="shared" si="0"/>
        <v>46461</v>
      </c>
      <c r="E47" s="116">
        <f t="shared" si="1"/>
        <v>46479</v>
      </c>
      <c r="F47" s="27"/>
      <c r="G47" s="27"/>
      <c r="H47" s="27"/>
      <c r="I47" s="27"/>
      <c r="J47" s="27"/>
      <c r="K47" s="27"/>
      <c r="L47" s="27"/>
      <c r="M47" s="27"/>
      <c r="N47" s="27"/>
      <c r="O47" s="27"/>
      <c r="P47" s="27"/>
      <c r="Q47" s="27"/>
      <c r="R47" s="27"/>
      <c r="S47" s="27"/>
      <c r="T47" s="27"/>
      <c r="U47" s="27"/>
      <c r="V47" s="27"/>
      <c r="W47" s="27"/>
      <c r="X47" s="27"/>
      <c r="Y47" s="27"/>
    </row>
    <row r="48" spans="3:25" ht="22.8" customHeight="1" x14ac:dyDescent="0.3">
      <c r="C48" s="14" t="s">
        <v>37</v>
      </c>
      <c r="D48" s="15">
        <f t="shared" si="0"/>
        <v>46482</v>
      </c>
      <c r="E48" s="15">
        <f t="shared" si="1"/>
        <v>46500</v>
      </c>
      <c r="F48" s="27" t="s">
        <v>66</v>
      </c>
      <c r="G48" s="27"/>
      <c r="H48" s="27"/>
      <c r="I48" s="27"/>
      <c r="J48" s="27"/>
      <c r="K48" s="27"/>
      <c r="L48" s="27"/>
      <c r="M48" s="27"/>
      <c r="N48" s="27"/>
      <c r="O48" s="27"/>
      <c r="P48" s="27" t="s">
        <v>67</v>
      </c>
      <c r="Q48" s="27"/>
      <c r="R48" s="27"/>
      <c r="S48" s="27"/>
      <c r="T48" s="27"/>
      <c r="U48" s="27"/>
      <c r="V48" s="27"/>
      <c r="W48" s="27"/>
      <c r="X48" s="27"/>
      <c r="Y48" s="27"/>
    </row>
    <row r="49" spans="3:25" ht="35.4" customHeight="1" x14ac:dyDescent="0.3">
      <c r="C49" s="14" t="s">
        <v>38</v>
      </c>
      <c r="D49" s="15">
        <f t="shared" si="0"/>
        <v>46503</v>
      </c>
      <c r="E49" s="15">
        <f t="shared" si="1"/>
        <v>46521</v>
      </c>
      <c r="F49" s="27" t="s">
        <v>64</v>
      </c>
      <c r="G49" s="27"/>
      <c r="H49" s="27"/>
      <c r="I49" s="27"/>
      <c r="J49" s="27"/>
      <c r="K49" s="27"/>
      <c r="L49" s="27"/>
      <c r="M49" s="27"/>
      <c r="N49" s="27"/>
      <c r="O49" s="27"/>
      <c r="P49" s="27" t="s">
        <v>67</v>
      </c>
      <c r="Q49" s="27"/>
      <c r="R49" s="27"/>
      <c r="S49" s="27"/>
      <c r="T49" s="27"/>
      <c r="U49" s="27"/>
      <c r="V49" s="27"/>
      <c r="W49" s="27"/>
      <c r="X49" s="27"/>
      <c r="Y49" s="27"/>
    </row>
    <row r="50" spans="3:25" ht="39.6" customHeight="1" x14ac:dyDescent="0.3">
      <c r="C50" s="14" t="s">
        <v>39</v>
      </c>
      <c r="D50" s="15">
        <f t="shared" si="0"/>
        <v>46524</v>
      </c>
      <c r="E50" s="15">
        <f t="shared" si="1"/>
        <v>46542</v>
      </c>
      <c r="F50" s="27" t="s">
        <v>65</v>
      </c>
      <c r="G50" s="27"/>
      <c r="H50" s="27"/>
      <c r="I50" s="27"/>
      <c r="J50" s="27"/>
      <c r="K50" s="27"/>
      <c r="L50" s="27"/>
      <c r="M50" s="27"/>
      <c r="N50" s="27"/>
      <c r="O50" s="27"/>
      <c r="P50" s="27" t="s">
        <v>67</v>
      </c>
      <c r="Q50" s="27"/>
      <c r="R50" s="27"/>
      <c r="S50" s="27"/>
      <c r="T50" s="27"/>
      <c r="U50" s="27"/>
      <c r="V50" s="27"/>
      <c r="W50" s="27"/>
      <c r="X50" s="27"/>
      <c r="Y50" s="27"/>
    </row>
    <row r="51" spans="3:25" ht="22.8" customHeight="1" x14ac:dyDescent="0.3">
      <c r="C51" s="115" t="s">
        <v>40</v>
      </c>
      <c r="D51" s="116">
        <f t="shared" si="0"/>
        <v>46545</v>
      </c>
      <c r="E51" s="116">
        <f>+D51+11</f>
        <v>46556</v>
      </c>
      <c r="F51" s="27"/>
      <c r="G51" s="27"/>
      <c r="H51" s="27"/>
      <c r="I51" s="27"/>
      <c r="J51" s="27"/>
      <c r="K51" s="27"/>
      <c r="L51" s="27"/>
      <c r="M51" s="27"/>
      <c r="N51" s="27"/>
      <c r="O51" s="27"/>
      <c r="P51" s="27"/>
      <c r="Q51" s="27"/>
      <c r="R51" s="27"/>
      <c r="S51" s="27"/>
      <c r="T51" s="27"/>
      <c r="U51" s="27"/>
      <c r="V51" s="27"/>
      <c r="W51" s="27"/>
      <c r="X51" s="27"/>
      <c r="Y51" s="27"/>
    </row>
    <row r="52" spans="3:25" x14ac:dyDescent="0.3">
      <c r="C52" s="14" t="s">
        <v>45</v>
      </c>
      <c r="D52" s="15">
        <f t="shared" si="0"/>
        <v>46559</v>
      </c>
      <c r="E52" s="15">
        <f>+D52+11</f>
        <v>46570</v>
      </c>
      <c r="F52" s="29"/>
      <c r="G52" s="30"/>
      <c r="H52" s="30"/>
      <c r="I52" s="30"/>
      <c r="J52" s="30"/>
      <c r="K52" s="30"/>
      <c r="L52" s="30"/>
      <c r="M52" s="30"/>
      <c r="N52" s="30"/>
      <c r="O52" s="30"/>
      <c r="P52" s="30"/>
      <c r="Q52" s="30"/>
      <c r="R52" s="30"/>
      <c r="S52" s="30"/>
      <c r="T52" s="30"/>
      <c r="U52" s="30"/>
      <c r="V52" s="30"/>
      <c r="W52" s="30"/>
      <c r="X52" s="30"/>
      <c r="Y52" s="30"/>
    </row>
    <row r="53" spans="3:25" x14ac:dyDescent="0.3">
      <c r="C53" s="14" t="s">
        <v>46</v>
      </c>
      <c r="D53" s="15">
        <f>+E52</f>
        <v>46570</v>
      </c>
      <c r="E53" s="15">
        <f>D53</f>
        <v>46570</v>
      </c>
      <c r="F53" s="30"/>
      <c r="G53" s="30"/>
      <c r="H53" s="30"/>
      <c r="I53" s="30"/>
      <c r="J53" s="30"/>
      <c r="K53" s="30"/>
      <c r="L53" s="30"/>
      <c r="M53" s="30"/>
      <c r="N53" s="30"/>
      <c r="O53" s="30"/>
      <c r="P53" s="30"/>
      <c r="Q53" s="30"/>
      <c r="R53" s="30"/>
      <c r="S53" s="30"/>
      <c r="T53" s="30"/>
      <c r="U53" s="30"/>
      <c r="V53" s="30"/>
      <c r="W53" s="30"/>
      <c r="X53" s="30"/>
      <c r="Y53" s="30"/>
    </row>
    <row r="54" spans="3:25" x14ac:dyDescent="0.3">
      <c r="D54" s="16">
        <f>D38</f>
        <v>46286</v>
      </c>
      <c r="E54" s="16">
        <f>E53</f>
        <v>46570</v>
      </c>
      <c r="F54" s="28"/>
      <c r="G54" s="28"/>
      <c r="H54" s="28"/>
      <c r="I54" s="28"/>
      <c r="J54" s="28"/>
      <c r="K54" s="28"/>
      <c r="L54" s="28"/>
      <c r="M54" s="28"/>
      <c r="N54" s="28"/>
      <c r="O54" s="28"/>
      <c r="P54" s="28"/>
      <c r="Q54" s="28"/>
      <c r="R54" s="28"/>
      <c r="S54" s="28"/>
      <c r="T54" s="28"/>
      <c r="U54" s="28"/>
      <c r="V54" s="28"/>
      <c r="W54" s="28"/>
      <c r="X54" s="28"/>
      <c r="Y54" s="28"/>
    </row>
    <row r="114" spans="2:15" ht="21" x14ac:dyDescent="0.4">
      <c r="B114" s="13"/>
      <c r="C114" s="13"/>
      <c r="D114" s="13"/>
      <c r="E114" s="13"/>
      <c r="F114" s="13"/>
      <c r="G114" s="13"/>
      <c r="H114" s="13"/>
      <c r="I114" s="13"/>
      <c r="J114" s="13"/>
      <c r="K114" s="13"/>
      <c r="L114" s="13"/>
      <c r="M114" s="13"/>
      <c r="N114" s="13"/>
      <c r="O114" s="13"/>
    </row>
  </sheetData>
  <mergeCells count="30">
    <mergeCell ref="P47:Y47"/>
    <mergeCell ref="P48:Y48"/>
    <mergeCell ref="P49:Y49"/>
    <mergeCell ref="P50:Y50"/>
    <mergeCell ref="P51:Y51"/>
    <mergeCell ref="P42:Y42"/>
    <mergeCell ref="P43:Y43"/>
    <mergeCell ref="P44:Y44"/>
    <mergeCell ref="P45:Y45"/>
    <mergeCell ref="P46:Y46"/>
    <mergeCell ref="P37:Y37"/>
    <mergeCell ref="P38:Y38"/>
    <mergeCell ref="P39:Y39"/>
    <mergeCell ref="P41:Y41"/>
    <mergeCell ref="P40:Y40"/>
    <mergeCell ref="F47:O47"/>
    <mergeCell ref="F48:O48"/>
    <mergeCell ref="F49:O49"/>
    <mergeCell ref="F50:O50"/>
    <mergeCell ref="F51:O51"/>
    <mergeCell ref="F42:O42"/>
    <mergeCell ref="F43:O43"/>
    <mergeCell ref="F44:O44"/>
    <mergeCell ref="F45:O45"/>
    <mergeCell ref="F46:O46"/>
    <mergeCell ref="F37:O37"/>
    <mergeCell ref="F38:O38"/>
    <mergeCell ref="F39:O39"/>
    <mergeCell ref="F41:O41"/>
    <mergeCell ref="F40:O40"/>
  </mergeCells>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1"/>
  <sheetViews>
    <sheetView workbookViewId="0">
      <selection activeCell="F7" sqref="F7"/>
    </sheetView>
  </sheetViews>
  <sheetFormatPr baseColWidth="10" defaultRowHeight="14.4" x14ac:dyDescent="0.3"/>
  <cols>
    <col min="1" max="2" width="8.88671875" style="31" customWidth="1"/>
    <col min="3" max="3" width="14.77734375" style="31" customWidth="1"/>
    <col min="4" max="4" width="10" style="31" customWidth="1"/>
    <col min="5" max="5" width="26.33203125" style="31" customWidth="1"/>
    <col min="6" max="6" width="63.44140625" style="31" customWidth="1"/>
    <col min="7" max="9" width="9.6640625" style="31" customWidth="1"/>
  </cols>
  <sheetData>
    <row r="1" spans="1:9" x14ac:dyDescent="0.3">
      <c r="F1" s="50"/>
      <c r="H1" s="74"/>
    </row>
    <row r="2" spans="1:9" ht="43.2" x14ac:dyDescent="0.3">
      <c r="A2" s="32" t="s">
        <v>68</v>
      </c>
      <c r="B2" s="32" t="s">
        <v>229</v>
      </c>
      <c r="C2" s="51" t="s">
        <v>269</v>
      </c>
      <c r="D2" s="51" t="s">
        <v>270</v>
      </c>
      <c r="E2" s="51" t="s">
        <v>271</v>
      </c>
      <c r="F2" s="51" t="s">
        <v>272</v>
      </c>
      <c r="G2" s="51" t="s">
        <v>940</v>
      </c>
      <c r="H2" s="51" t="s">
        <v>946</v>
      </c>
      <c r="I2" s="51" t="s">
        <v>970</v>
      </c>
    </row>
    <row r="3" spans="1:9" s="28" customFormat="1" ht="43.2" x14ac:dyDescent="0.3">
      <c r="A3" s="35" t="str">
        <f>CONCATENATE(B3,"-",D3)</f>
        <v>EP15-US05</v>
      </c>
      <c r="B3" s="73" t="s">
        <v>245</v>
      </c>
      <c r="C3" s="73" t="s">
        <v>454</v>
      </c>
      <c r="D3" s="73" t="s">
        <v>297</v>
      </c>
      <c r="E3" s="65" t="s">
        <v>463</v>
      </c>
      <c r="F3" s="65" t="s">
        <v>464</v>
      </c>
      <c r="G3" s="73" t="s">
        <v>943</v>
      </c>
      <c r="H3" s="75" t="s">
        <v>959</v>
      </c>
      <c r="I3" s="73" t="s">
        <v>973</v>
      </c>
    </row>
    <row r="4" spans="1:9" s="28" customFormat="1" ht="43.2" x14ac:dyDescent="0.3">
      <c r="A4" s="35" t="str">
        <f>CONCATENATE(B4,"-",D4)</f>
        <v>EP15-US07</v>
      </c>
      <c r="B4" s="29" t="s">
        <v>245</v>
      </c>
      <c r="C4" s="29" t="s">
        <v>454</v>
      </c>
      <c r="D4" s="73" t="s">
        <v>347</v>
      </c>
      <c r="E4" s="88" t="s">
        <v>345</v>
      </c>
      <c r="F4" s="88" t="s">
        <v>346</v>
      </c>
      <c r="G4" s="29" t="s">
        <v>943</v>
      </c>
      <c r="H4" s="71" t="s">
        <v>959</v>
      </c>
      <c r="I4" s="73" t="s">
        <v>973</v>
      </c>
    </row>
    <row r="5" spans="1:9" s="28" customFormat="1" ht="43.2" x14ac:dyDescent="0.3">
      <c r="A5" s="35" t="str">
        <f>CONCATENATE(B5,"-",D5)</f>
        <v>EP15-US08</v>
      </c>
      <c r="B5" s="29" t="s">
        <v>245</v>
      </c>
      <c r="C5" s="29" t="s">
        <v>454</v>
      </c>
      <c r="D5" s="73" t="s">
        <v>350</v>
      </c>
      <c r="E5" s="88" t="s">
        <v>348</v>
      </c>
      <c r="F5" s="88" t="s">
        <v>349</v>
      </c>
      <c r="G5" s="29" t="s">
        <v>943</v>
      </c>
      <c r="H5" s="71" t="s">
        <v>959</v>
      </c>
      <c r="I5" s="73" t="s">
        <v>973</v>
      </c>
    </row>
    <row r="6" spans="1:9" s="28" customFormat="1" ht="43.2" x14ac:dyDescent="0.3">
      <c r="A6" s="35" t="str">
        <f>CONCATENATE(B6,"-",D6)</f>
        <v>EP15-US09</v>
      </c>
      <c r="B6" s="29" t="s">
        <v>245</v>
      </c>
      <c r="C6" s="29" t="s">
        <v>454</v>
      </c>
      <c r="D6" s="73" t="s">
        <v>370</v>
      </c>
      <c r="E6" s="88" t="s">
        <v>465</v>
      </c>
      <c r="F6" s="88" t="s">
        <v>352</v>
      </c>
      <c r="G6" s="29" t="s">
        <v>943</v>
      </c>
      <c r="H6" s="71" t="s">
        <v>959</v>
      </c>
      <c r="I6" s="73" t="s">
        <v>973</v>
      </c>
    </row>
    <row r="7" spans="1:9" s="28" customFormat="1" ht="43.2" x14ac:dyDescent="0.3">
      <c r="A7" s="35" t="str">
        <f>CONCATENATE(B7,"-",D7)</f>
        <v>EP15-US10</v>
      </c>
      <c r="B7" s="29" t="s">
        <v>245</v>
      </c>
      <c r="C7" s="29" t="s">
        <v>454</v>
      </c>
      <c r="D7" s="73" t="s">
        <v>405</v>
      </c>
      <c r="E7" s="88" t="s">
        <v>466</v>
      </c>
      <c r="F7" s="29" t="s">
        <v>467</v>
      </c>
      <c r="G7" s="29" t="s">
        <v>943</v>
      </c>
      <c r="H7" s="71" t="s">
        <v>959</v>
      </c>
      <c r="I7" s="73" t="s">
        <v>973</v>
      </c>
    </row>
    <row r="8" spans="1:9" s="28" customFormat="1" ht="43.2" x14ac:dyDescent="0.3">
      <c r="A8" s="35" t="str">
        <f>CONCATENATE(B8,"-",D8)</f>
        <v>EP15-US12</v>
      </c>
      <c r="B8" s="29" t="s">
        <v>245</v>
      </c>
      <c r="C8" s="29" t="s">
        <v>454</v>
      </c>
      <c r="D8" s="73" t="s">
        <v>435</v>
      </c>
      <c r="E8" s="88" t="s">
        <v>470</v>
      </c>
      <c r="F8" s="88" t="s">
        <v>471</v>
      </c>
      <c r="G8" s="29" t="s">
        <v>943</v>
      </c>
      <c r="H8" s="71" t="s">
        <v>959</v>
      </c>
      <c r="I8" s="73" t="s">
        <v>973</v>
      </c>
    </row>
    <row r="9" spans="1:9" s="28" customFormat="1" ht="43.2" x14ac:dyDescent="0.3">
      <c r="A9" s="35" t="str">
        <f>CONCATENATE(B9,"-",D9)</f>
        <v>EP15-US13</v>
      </c>
      <c r="B9" s="29" t="s">
        <v>245</v>
      </c>
      <c r="C9" s="29" t="s">
        <v>454</v>
      </c>
      <c r="D9" s="73" t="s">
        <v>472</v>
      </c>
      <c r="E9" s="88" t="s">
        <v>473</v>
      </c>
      <c r="F9" s="88" t="s">
        <v>474</v>
      </c>
      <c r="G9" s="29" t="s">
        <v>943</v>
      </c>
      <c r="H9" s="71" t="s">
        <v>959</v>
      </c>
      <c r="I9" s="73" t="s">
        <v>973</v>
      </c>
    </row>
    <row r="10" spans="1:9" s="28" customFormat="1" ht="43.2" x14ac:dyDescent="0.3">
      <c r="A10" s="35" t="str">
        <f>CONCATENATE(B10,"-",D10)</f>
        <v>EP17-US08</v>
      </c>
      <c r="B10" s="29" t="s">
        <v>247</v>
      </c>
      <c r="C10" s="29" t="s">
        <v>484</v>
      </c>
      <c r="D10" s="73" t="s">
        <v>350</v>
      </c>
      <c r="E10" s="88" t="s">
        <v>497</v>
      </c>
      <c r="F10" s="88" t="s">
        <v>498</v>
      </c>
      <c r="G10" s="29" t="s">
        <v>943</v>
      </c>
      <c r="H10" s="71" t="s">
        <v>959</v>
      </c>
      <c r="I10" s="73" t="s">
        <v>973</v>
      </c>
    </row>
    <row r="11" spans="1:9" s="28" customFormat="1" ht="86.4" x14ac:dyDescent="0.3">
      <c r="A11" s="85" t="s">
        <v>141</v>
      </c>
      <c r="B11" s="91"/>
      <c r="C11" s="91"/>
      <c r="D11" s="45"/>
      <c r="E11" s="66" t="s">
        <v>824</v>
      </c>
      <c r="F11" s="103" t="s">
        <v>771</v>
      </c>
      <c r="G11" s="98" t="s">
        <v>943</v>
      </c>
      <c r="H11" s="75" t="s">
        <v>959</v>
      </c>
      <c r="I11" s="85" t="s">
        <v>972</v>
      </c>
    </row>
    <row r="12" spans="1:9" s="28" customFormat="1" ht="57.6" x14ac:dyDescent="0.3">
      <c r="A12" s="85" t="s">
        <v>180</v>
      </c>
      <c r="B12" s="91"/>
      <c r="C12" s="91"/>
      <c r="D12" s="91"/>
      <c r="E12" s="66" t="s">
        <v>864</v>
      </c>
      <c r="F12" s="103" t="s">
        <v>771</v>
      </c>
      <c r="G12" s="98" t="s">
        <v>943</v>
      </c>
      <c r="H12" s="107" t="s">
        <v>959</v>
      </c>
      <c r="I12" s="85" t="s">
        <v>972</v>
      </c>
    </row>
    <row r="13" spans="1:9" s="28" customFormat="1" ht="57.6" x14ac:dyDescent="0.3">
      <c r="A13" s="85" t="s">
        <v>183</v>
      </c>
      <c r="B13" s="91"/>
      <c r="C13" s="91"/>
      <c r="D13" s="91"/>
      <c r="E13" s="66" t="s">
        <v>867</v>
      </c>
      <c r="F13" s="103" t="s">
        <v>773</v>
      </c>
      <c r="G13" s="98" t="s">
        <v>943</v>
      </c>
      <c r="H13" s="107" t="s">
        <v>959</v>
      </c>
      <c r="I13" s="92" t="s">
        <v>972</v>
      </c>
    </row>
    <row r="14" spans="1:9" s="28" customFormat="1" x14ac:dyDescent="0.3">
      <c r="A14" s="45" t="s">
        <v>184</v>
      </c>
      <c r="C14" s="49" t="s">
        <v>868</v>
      </c>
      <c r="D14" s="45"/>
      <c r="E14" s="66" t="s">
        <v>869</v>
      </c>
      <c r="F14" s="28" t="s">
        <v>870</v>
      </c>
      <c r="G14" s="98" t="s">
        <v>943</v>
      </c>
      <c r="H14" s="71" t="s">
        <v>959</v>
      </c>
      <c r="I14" s="92" t="s">
        <v>972</v>
      </c>
    </row>
    <row r="15" spans="1:9" s="28" customFormat="1" x14ac:dyDescent="0.3">
      <c r="A15" s="45" t="s">
        <v>185</v>
      </c>
      <c r="B15" s="91"/>
      <c r="C15" s="49" t="s">
        <v>868</v>
      </c>
      <c r="D15" s="45"/>
      <c r="E15" s="66" t="s">
        <v>869</v>
      </c>
      <c r="F15" s="91" t="s">
        <v>871</v>
      </c>
      <c r="G15" s="98" t="s">
        <v>943</v>
      </c>
      <c r="H15" s="71" t="s">
        <v>959</v>
      </c>
      <c r="I15" s="92" t="s">
        <v>972</v>
      </c>
    </row>
    <row r="16" spans="1:9" s="28" customFormat="1" x14ac:dyDescent="0.3">
      <c r="A16" s="45" t="s">
        <v>186</v>
      </c>
      <c r="B16" s="91"/>
      <c r="C16" s="49" t="s">
        <v>868</v>
      </c>
      <c r="D16" s="45"/>
      <c r="E16" s="66" t="s">
        <v>869</v>
      </c>
      <c r="F16" s="91" t="s">
        <v>872</v>
      </c>
      <c r="G16" s="98" t="s">
        <v>943</v>
      </c>
      <c r="H16" s="71" t="s">
        <v>959</v>
      </c>
      <c r="I16" s="92" t="s">
        <v>972</v>
      </c>
    </row>
    <row r="17" spans="1:9" s="28" customFormat="1" x14ac:dyDescent="0.3">
      <c r="A17" s="45" t="s">
        <v>187</v>
      </c>
      <c r="B17" s="91"/>
      <c r="C17" s="49" t="s">
        <v>868</v>
      </c>
      <c r="D17" s="45"/>
      <c r="E17" s="66" t="s">
        <v>869</v>
      </c>
      <c r="F17" s="91" t="s">
        <v>873</v>
      </c>
      <c r="G17" s="98" t="s">
        <v>943</v>
      </c>
      <c r="H17" s="71" t="s">
        <v>959</v>
      </c>
      <c r="I17" s="85" t="s">
        <v>972</v>
      </c>
    </row>
    <row r="18" spans="1:9" s="28" customFormat="1" x14ac:dyDescent="0.3">
      <c r="A18" s="45" t="s">
        <v>188</v>
      </c>
      <c r="B18" s="91"/>
      <c r="C18" s="49" t="s">
        <v>868</v>
      </c>
      <c r="D18" s="45"/>
      <c r="E18" s="66" t="s">
        <v>869</v>
      </c>
      <c r="F18" s="91" t="s">
        <v>874</v>
      </c>
      <c r="G18" s="98" t="s">
        <v>943</v>
      </c>
      <c r="H18" s="71" t="s">
        <v>959</v>
      </c>
      <c r="I18" s="85" t="s">
        <v>972</v>
      </c>
    </row>
    <row r="19" spans="1:9" s="28" customFormat="1" x14ac:dyDescent="0.3">
      <c r="A19" s="45" t="s">
        <v>189</v>
      </c>
      <c r="B19" s="91"/>
      <c r="C19" s="49" t="s">
        <v>868</v>
      </c>
      <c r="D19" s="91"/>
      <c r="E19" s="66" t="s">
        <v>869</v>
      </c>
      <c r="F19" s="91" t="s">
        <v>875</v>
      </c>
      <c r="G19" s="98" t="s">
        <v>943</v>
      </c>
      <c r="H19" s="71" t="s">
        <v>959</v>
      </c>
      <c r="I19" s="92" t="s">
        <v>972</v>
      </c>
    </row>
    <row r="20" spans="1:9" s="28" customFormat="1" x14ac:dyDescent="0.3">
      <c r="A20" s="45" t="s">
        <v>190</v>
      </c>
      <c r="B20" s="91"/>
      <c r="C20" s="49" t="s">
        <v>868</v>
      </c>
      <c r="D20" s="91"/>
      <c r="E20" s="66" t="s">
        <v>869</v>
      </c>
      <c r="F20" s="91" t="s">
        <v>876</v>
      </c>
      <c r="G20" s="98" t="s">
        <v>943</v>
      </c>
      <c r="H20" s="71" t="s">
        <v>959</v>
      </c>
      <c r="I20" s="85" t="s">
        <v>972</v>
      </c>
    </row>
    <row r="21" spans="1:9" s="28" customFormat="1" ht="28.8" x14ac:dyDescent="0.3">
      <c r="A21" s="85" t="s">
        <v>191</v>
      </c>
      <c r="B21" s="49"/>
      <c r="C21" s="49" t="s">
        <v>868</v>
      </c>
      <c r="D21" s="49"/>
      <c r="E21" s="66" t="s">
        <v>877</v>
      </c>
      <c r="F21" s="67" t="s">
        <v>878</v>
      </c>
      <c r="G21" s="40" t="s">
        <v>943</v>
      </c>
      <c r="H21" s="71" t="s">
        <v>959</v>
      </c>
      <c r="I21" s="85" t="s">
        <v>973</v>
      </c>
    </row>
    <row r="22" spans="1:9" s="28" customFormat="1" ht="28.8" x14ac:dyDescent="0.3">
      <c r="A22" s="92" t="s">
        <v>192</v>
      </c>
      <c r="B22" s="49"/>
      <c r="C22" s="49" t="s">
        <v>868</v>
      </c>
      <c r="D22" s="93"/>
      <c r="E22" s="66" t="s">
        <v>877</v>
      </c>
      <c r="F22" s="67" t="s">
        <v>879</v>
      </c>
      <c r="G22" s="40" t="s">
        <v>943</v>
      </c>
      <c r="H22" s="71" t="s">
        <v>959</v>
      </c>
      <c r="I22" s="85" t="s">
        <v>973</v>
      </c>
    </row>
    <row r="23" spans="1:9" s="28" customFormat="1" ht="28.8" x14ac:dyDescent="0.3">
      <c r="A23" s="45" t="s">
        <v>195</v>
      </c>
      <c r="B23" s="49"/>
      <c r="C23" s="49" t="s">
        <v>868</v>
      </c>
      <c r="D23" s="93"/>
      <c r="E23" s="66" t="s">
        <v>883</v>
      </c>
      <c r="F23" s="67" t="s">
        <v>884</v>
      </c>
      <c r="G23" s="40" t="s">
        <v>943</v>
      </c>
      <c r="H23" s="75" t="s">
        <v>959</v>
      </c>
      <c r="I23" s="85" t="s">
        <v>973</v>
      </c>
    </row>
    <row r="24" spans="1:9" s="28" customFormat="1" x14ac:dyDescent="0.3">
      <c r="A24" s="45" t="s">
        <v>199</v>
      </c>
      <c r="B24" s="91"/>
      <c r="C24" s="28" t="s">
        <v>893</v>
      </c>
      <c r="D24" s="91"/>
      <c r="E24" s="28" t="s">
        <v>894</v>
      </c>
      <c r="F24" s="28" t="s">
        <v>895</v>
      </c>
      <c r="G24" s="98" t="s">
        <v>943</v>
      </c>
      <c r="H24" s="89" t="s">
        <v>959</v>
      </c>
      <c r="I24" s="92" t="s">
        <v>972</v>
      </c>
    </row>
    <row r="25" spans="1:9" s="28" customFormat="1" x14ac:dyDescent="0.3">
      <c r="A25" s="45" t="s">
        <v>201</v>
      </c>
      <c r="B25" s="91"/>
      <c r="C25" s="28" t="s">
        <v>893</v>
      </c>
      <c r="D25" s="91"/>
      <c r="E25" s="28" t="s">
        <v>894</v>
      </c>
      <c r="F25" s="28" t="s">
        <v>897</v>
      </c>
      <c r="G25" s="98" t="s">
        <v>943</v>
      </c>
      <c r="H25" s="107" t="s">
        <v>959</v>
      </c>
      <c r="I25" s="92" t="s">
        <v>976</v>
      </c>
    </row>
    <row r="26" spans="1:9" s="28" customFormat="1" x14ac:dyDescent="0.3">
      <c r="A26" s="45" t="s">
        <v>202</v>
      </c>
      <c r="B26" s="91"/>
      <c r="C26" s="28" t="s">
        <v>893</v>
      </c>
      <c r="D26" s="45"/>
      <c r="E26" s="28" t="s">
        <v>894</v>
      </c>
      <c r="F26" s="28" t="s">
        <v>898</v>
      </c>
      <c r="G26" s="98" t="s">
        <v>943</v>
      </c>
      <c r="H26" s="71" t="s">
        <v>959</v>
      </c>
      <c r="I26" s="92" t="s">
        <v>976</v>
      </c>
    </row>
    <row r="27" spans="1:9" s="28" customFormat="1" x14ac:dyDescent="0.3">
      <c r="A27" s="45" t="s">
        <v>203</v>
      </c>
      <c r="B27" s="91"/>
      <c r="C27" s="28" t="s">
        <v>893</v>
      </c>
      <c r="D27" s="45"/>
      <c r="E27" s="28" t="s">
        <v>899</v>
      </c>
      <c r="F27" s="28" t="s">
        <v>900</v>
      </c>
      <c r="G27" s="98" t="s">
        <v>943</v>
      </c>
      <c r="H27" s="108" t="s">
        <v>959</v>
      </c>
      <c r="I27" s="92" t="s">
        <v>972</v>
      </c>
    </row>
    <row r="28" spans="1:9" s="28" customFormat="1" x14ac:dyDescent="0.3">
      <c r="A28" s="45" t="s">
        <v>204</v>
      </c>
      <c r="B28" s="91"/>
      <c r="C28" s="28" t="s">
        <v>893</v>
      </c>
      <c r="D28" s="45"/>
      <c r="E28" s="28" t="s">
        <v>899</v>
      </c>
      <c r="F28" s="28" t="s">
        <v>901</v>
      </c>
      <c r="G28" s="98" t="s">
        <v>943</v>
      </c>
      <c r="H28" s="71" t="s">
        <v>959</v>
      </c>
      <c r="I28" s="92" t="s">
        <v>976</v>
      </c>
    </row>
    <row r="29" spans="1:9" s="28" customFormat="1" x14ac:dyDescent="0.3">
      <c r="A29" s="45" t="s">
        <v>205</v>
      </c>
      <c r="B29" s="91"/>
      <c r="C29" s="28" t="s">
        <v>893</v>
      </c>
      <c r="D29" s="45"/>
      <c r="E29" s="28" t="s">
        <v>899</v>
      </c>
      <c r="F29" s="28" t="s">
        <v>902</v>
      </c>
      <c r="G29" s="98" t="s">
        <v>943</v>
      </c>
      <c r="H29" s="71" t="s">
        <v>959</v>
      </c>
      <c r="I29" s="92" t="s">
        <v>972</v>
      </c>
    </row>
    <row r="30" spans="1:9" s="28" customFormat="1" x14ac:dyDescent="0.3">
      <c r="A30" s="45" t="s">
        <v>206</v>
      </c>
      <c r="B30" s="91"/>
      <c r="C30" s="28" t="s">
        <v>893</v>
      </c>
      <c r="D30" s="45"/>
      <c r="E30" s="28" t="s">
        <v>899</v>
      </c>
      <c r="F30" s="91" t="s">
        <v>903</v>
      </c>
      <c r="G30" s="98" t="s">
        <v>943</v>
      </c>
      <c r="H30" s="71" t="s">
        <v>959</v>
      </c>
      <c r="I30" s="92" t="s">
        <v>972</v>
      </c>
    </row>
    <row r="31" spans="1:9" s="28" customFormat="1" x14ac:dyDescent="0.3">
      <c r="A31" s="45" t="s">
        <v>207</v>
      </c>
      <c r="B31" s="91"/>
      <c r="C31" s="28" t="s">
        <v>893</v>
      </c>
      <c r="D31" s="45"/>
      <c r="E31" s="28" t="s">
        <v>904</v>
      </c>
      <c r="F31" s="91" t="s">
        <v>905</v>
      </c>
      <c r="G31" s="98" t="s">
        <v>943</v>
      </c>
      <c r="H31" s="108" t="s">
        <v>959</v>
      </c>
      <c r="I31" s="92" t="s">
        <v>972</v>
      </c>
    </row>
    <row r="32" spans="1:9" s="28" customFormat="1" x14ac:dyDescent="0.3">
      <c r="A32" s="45" t="s">
        <v>208</v>
      </c>
      <c r="B32" s="91"/>
      <c r="C32" s="91" t="s">
        <v>893</v>
      </c>
      <c r="D32" s="91"/>
      <c r="E32" s="28" t="s">
        <v>904</v>
      </c>
      <c r="F32" s="91" t="s">
        <v>906</v>
      </c>
      <c r="G32" s="98" t="s">
        <v>943</v>
      </c>
      <c r="H32" s="108" t="s">
        <v>959</v>
      </c>
      <c r="I32" s="92" t="s">
        <v>972</v>
      </c>
    </row>
    <row r="33" spans="1:9" s="28" customFormat="1" x14ac:dyDescent="0.3">
      <c r="A33" s="45" t="s">
        <v>209</v>
      </c>
      <c r="B33" s="91"/>
      <c r="C33" s="28" t="s">
        <v>893</v>
      </c>
      <c r="D33" s="91"/>
      <c r="E33" s="28" t="s">
        <v>907</v>
      </c>
      <c r="F33" s="91" t="s">
        <v>908</v>
      </c>
      <c r="G33" s="98" t="s">
        <v>943</v>
      </c>
      <c r="H33" s="108" t="s">
        <v>959</v>
      </c>
      <c r="I33" s="92" t="s">
        <v>972</v>
      </c>
    </row>
    <row r="34" spans="1:9" s="28" customFormat="1" x14ac:dyDescent="0.3">
      <c r="A34" s="45" t="s">
        <v>210</v>
      </c>
      <c r="B34" s="91"/>
      <c r="C34" s="91" t="s">
        <v>893</v>
      </c>
      <c r="D34" s="91"/>
      <c r="E34" s="28" t="s">
        <v>907</v>
      </c>
      <c r="F34" s="91" t="s">
        <v>909</v>
      </c>
      <c r="G34" s="98" t="s">
        <v>943</v>
      </c>
      <c r="H34" s="71" t="s">
        <v>959</v>
      </c>
      <c r="I34" s="92" t="s">
        <v>972</v>
      </c>
    </row>
    <row r="35" spans="1:9" s="28" customFormat="1" x14ac:dyDescent="0.3">
      <c r="A35" s="45" t="s">
        <v>212</v>
      </c>
      <c r="B35" s="91"/>
      <c r="C35" s="28" t="s">
        <v>893</v>
      </c>
      <c r="D35" s="91"/>
      <c r="E35" s="28" t="s">
        <v>912</v>
      </c>
      <c r="F35" s="91" t="s">
        <v>913</v>
      </c>
      <c r="G35" s="98" t="s">
        <v>943</v>
      </c>
      <c r="H35" s="71" t="s">
        <v>959</v>
      </c>
      <c r="I35" s="92" t="s">
        <v>972</v>
      </c>
    </row>
    <row r="36" spans="1:9" s="28" customFormat="1" x14ac:dyDescent="0.3">
      <c r="A36" s="45" t="s">
        <v>213</v>
      </c>
      <c r="B36" s="91"/>
      <c r="C36" s="28" t="s">
        <v>893</v>
      </c>
      <c r="D36" s="45"/>
      <c r="E36" s="28" t="s">
        <v>914</v>
      </c>
      <c r="F36" s="91" t="s">
        <v>915</v>
      </c>
      <c r="G36" s="98" t="s">
        <v>943</v>
      </c>
      <c r="H36" s="75" t="s">
        <v>959</v>
      </c>
      <c r="I36" s="85" t="s">
        <v>972</v>
      </c>
    </row>
    <row r="37" spans="1:9" s="28" customFormat="1" x14ac:dyDescent="0.3">
      <c r="A37" s="45" t="s">
        <v>226</v>
      </c>
      <c r="B37" s="91"/>
      <c r="C37" s="28" t="s">
        <v>893</v>
      </c>
      <c r="D37" s="91"/>
      <c r="E37" s="91" t="s">
        <v>910</v>
      </c>
      <c r="F37" s="91" t="s">
        <v>934</v>
      </c>
      <c r="G37" s="98" t="s">
        <v>943</v>
      </c>
      <c r="H37" s="106" t="s">
        <v>959</v>
      </c>
      <c r="I37" s="92" t="s">
        <v>972</v>
      </c>
    </row>
    <row r="38" spans="1:9" s="28" customFormat="1" ht="72" x14ac:dyDescent="0.3">
      <c r="A38" s="92" t="s">
        <v>192</v>
      </c>
      <c r="B38" s="91"/>
      <c r="C38" s="91" t="s">
        <v>868</v>
      </c>
      <c r="D38" s="91"/>
      <c r="E38" s="66" t="s">
        <v>935</v>
      </c>
      <c r="F38" s="103" t="s">
        <v>936</v>
      </c>
      <c r="G38" s="40" t="s">
        <v>943</v>
      </c>
      <c r="H38" s="75" t="s">
        <v>959</v>
      </c>
      <c r="I38" s="85" t="s">
        <v>973</v>
      </c>
    </row>
    <row r="39" spans="1:9" s="28" customFormat="1" ht="115.2" x14ac:dyDescent="0.3">
      <c r="A39" s="35" t="str">
        <f>CONCATENATE(B39,"-",D39)</f>
        <v>EP02-US04</v>
      </c>
      <c r="B39" s="98" t="s">
        <v>232</v>
      </c>
      <c r="C39" s="98" t="s">
        <v>287</v>
      </c>
      <c r="D39" s="98" t="s">
        <v>294</v>
      </c>
      <c r="E39" s="98" t="s">
        <v>295</v>
      </c>
      <c r="F39" s="98" t="s">
        <v>296</v>
      </c>
      <c r="G39" s="98" t="s">
        <v>941</v>
      </c>
      <c r="H39" s="75" t="s">
        <v>949</v>
      </c>
      <c r="I39" s="85" t="s">
        <v>972</v>
      </c>
    </row>
    <row r="40" spans="1:9" s="28" customFormat="1" ht="28.8" x14ac:dyDescent="0.3">
      <c r="A40" s="35" t="s">
        <v>69</v>
      </c>
      <c r="B40" s="91"/>
      <c r="C40" s="91" t="s">
        <v>733</v>
      </c>
      <c r="D40" s="99"/>
      <c r="E40" s="91" t="s">
        <v>734</v>
      </c>
      <c r="F40" s="104" t="s">
        <v>735</v>
      </c>
      <c r="G40" s="98" t="s">
        <v>941</v>
      </c>
      <c r="H40" s="75" t="s">
        <v>949</v>
      </c>
      <c r="I40" s="73" t="s">
        <v>973</v>
      </c>
    </row>
    <row r="41" spans="1:9" s="28" customFormat="1" ht="28.8" x14ac:dyDescent="0.3">
      <c r="A41" s="35" t="str">
        <f>CONCATENATE(B41,"-",D41)</f>
        <v>-</v>
      </c>
      <c r="B41" s="91"/>
      <c r="C41" s="91" t="s">
        <v>733</v>
      </c>
      <c r="D41" s="99"/>
      <c r="E41" s="91" t="s">
        <v>737</v>
      </c>
      <c r="F41" s="103" t="s">
        <v>735</v>
      </c>
      <c r="G41" s="98" t="s">
        <v>941</v>
      </c>
      <c r="H41" s="107" t="s">
        <v>949</v>
      </c>
      <c r="I41" s="73" t="s">
        <v>973</v>
      </c>
    </row>
    <row r="42" spans="1:9" s="28" customFormat="1" ht="28.8" x14ac:dyDescent="0.3">
      <c r="A42" s="85" t="s">
        <v>79</v>
      </c>
      <c r="B42" s="91"/>
      <c r="C42" s="91"/>
      <c r="D42" s="91"/>
      <c r="E42" s="66" t="s">
        <v>757</v>
      </c>
      <c r="F42" s="103"/>
      <c r="G42" s="29" t="s">
        <v>941</v>
      </c>
      <c r="H42" s="75" t="s">
        <v>949</v>
      </c>
      <c r="I42" s="85" t="s">
        <v>972</v>
      </c>
    </row>
    <row r="43" spans="1:9" s="28" customFormat="1" ht="100.8" x14ac:dyDescent="0.3">
      <c r="A43" s="85" t="s">
        <v>129</v>
      </c>
      <c r="B43" s="91"/>
      <c r="C43" s="91"/>
      <c r="D43" s="91"/>
      <c r="E43" s="66" t="s">
        <v>812</v>
      </c>
      <c r="F43" s="103" t="s">
        <v>773</v>
      </c>
      <c r="G43" s="98" t="s">
        <v>943</v>
      </c>
      <c r="H43" s="75" t="s">
        <v>949</v>
      </c>
      <c r="I43" s="85" t="s">
        <v>973</v>
      </c>
    </row>
    <row r="44" spans="1:9" s="28" customFormat="1" ht="72" x14ac:dyDescent="0.3">
      <c r="A44" s="85" t="s">
        <v>139</v>
      </c>
      <c r="B44" s="91"/>
      <c r="C44" s="91"/>
      <c r="D44" s="45"/>
      <c r="E44" s="66" t="s">
        <v>822</v>
      </c>
      <c r="F44" s="103" t="s">
        <v>773</v>
      </c>
      <c r="G44" s="98" t="s">
        <v>941</v>
      </c>
      <c r="H44" s="71" t="s">
        <v>949</v>
      </c>
      <c r="I44" s="85" t="s">
        <v>972</v>
      </c>
    </row>
    <row r="45" spans="1:9" s="28" customFormat="1" ht="86.4" x14ac:dyDescent="0.3">
      <c r="A45" s="85" t="s">
        <v>148</v>
      </c>
      <c r="B45" s="91"/>
      <c r="C45" s="91"/>
      <c r="D45" s="45"/>
      <c r="E45" s="66" t="s">
        <v>831</v>
      </c>
      <c r="F45" s="104" t="s">
        <v>832</v>
      </c>
      <c r="G45" s="98" t="s">
        <v>943</v>
      </c>
      <c r="H45" s="107" t="s">
        <v>949</v>
      </c>
      <c r="I45" s="85" t="s">
        <v>972</v>
      </c>
    </row>
    <row r="46" spans="1:9" s="28" customFormat="1" ht="100.8" x14ac:dyDescent="0.3">
      <c r="A46" s="85" t="s">
        <v>159</v>
      </c>
      <c r="B46" s="91"/>
      <c r="C46" s="91"/>
      <c r="D46" s="91"/>
      <c r="E46" s="66" t="s">
        <v>843</v>
      </c>
      <c r="F46" s="103" t="s">
        <v>771</v>
      </c>
      <c r="G46" s="98" t="s">
        <v>941</v>
      </c>
      <c r="H46" s="75" t="s">
        <v>949</v>
      </c>
      <c r="I46" s="85" t="s">
        <v>972</v>
      </c>
    </row>
    <row r="47" spans="1:9" s="28" customFormat="1" ht="129.6" x14ac:dyDescent="0.3">
      <c r="A47" s="85" t="s">
        <v>160</v>
      </c>
      <c r="B47" s="91"/>
      <c r="C47" s="91"/>
      <c r="D47" s="45"/>
      <c r="E47" s="66" t="s">
        <v>844</v>
      </c>
      <c r="F47" s="103" t="s">
        <v>771</v>
      </c>
      <c r="G47" s="98" t="s">
        <v>941</v>
      </c>
      <c r="H47" s="75" t="s">
        <v>949</v>
      </c>
      <c r="I47" s="85" t="s">
        <v>972</v>
      </c>
    </row>
    <row r="48" spans="1:9" s="28" customFormat="1" ht="86.4" x14ac:dyDescent="0.3">
      <c r="A48" s="85" t="s">
        <v>161</v>
      </c>
      <c r="B48" s="91"/>
      <c r="C48" s="91"/>
      <c r="D48" s="91"/>
      <c r="E48" s="66" t="s">
        <v>845</v>
      </c>
      <c r="F48" s="103" t="s">
        <v>771</v>
      </c>
      <c r="G48" s="98" t="s">
        <v>941</v>
      </c>
      <c r="H48" s="75" t="s">
        <v>949</v>
      </c>
      <c r="I48" s="85" t="s">
        <v>972</v>
      </c>
    </row>
    <row r="49" spans="1:9" s="28" customFormat="1" ht="28.8" x14ac:dyDescent="0.3">
      <c r="A49" s="85" t="s">
        <v>163</v>
      </c>
      <c r="B49" s="91"/>
      <c r="C49" s="91"/>
      <c r="D49" s="91"/>
      <c r="E49" s="66" t="s">
        <v>847</v>
      </c>
      <c r="F49" s="103" t="s">
        <v>771</v>
      </c>
      <c r="G49" s="98" t="s">
        <v>941</v>
      </c>
      <c r="H49" s="71" t="s">
        <v>949</v>
      </c>
      <c r="I49" s="85" t="s">
        <v>972</v>
      </c>
    </row>
    <row r="50" spans="1:9" s="28" customFormat="1" ht="28.8" x14ac:dyDescent="0.3">
      <c r="A50" s="85" t="s">
        <v>193</v>
      </c>
      <c r="B50" s="49"/>
      <c r="C50" s="49" t="s">
        <v>868</v>
      </c>
      <c r="D50" s="93"/>
      <c r="E50" s="66" t="s">
        <v>880</v>
      </c>
      <c r="F50" s="67" t="s">
        <v>881</v>
      </c>
      <c r="G50" s="40" t="s">
        <v>943</v>
      </c>
      <c r="H50" s="71" t="s">
        <v>949</v>
      </c>
      <c r="I50" s="85" t="s">
        <v>973</v>
      </c>
    </row>
    <row r="51" spans="1:9" s="28" customFormat="1" ht="28.8" x14ac:dyDescent="0.3">
      <c r="A51" s="92" t="s">
        <v>194</v>
      </c>
      <c r="B51" s="49"/>
      <c r="C51" s="49" t="s">
        <v>868</v>
      </c>
      <c r="D51" s="93"/>
      <c r="E51" s="66" t="s">
        <v>880</v>
      </c>
      <c r="F51" s="67" t="s">
        <v>882</v>
      </c>
      <c r="G51" s="40" t="s">
        <v>943</v>
      </c>
      <c r="H51" s="71" t="s">
        <v>949</v>
      </c>
      <c r="I51" s="85" t="s">
        <v>973</v>
      </c>
    </row>
    <row r="52" spans="1:9" s="28" customFormat="1" ht="43.2" x14ac:dyDescent="0.3">
      <c r="A52" s="85" t="s">
        <v>196</v>
      </c>
      <c r="B52" s="49"/>
      <c r="C52" s="49" t="s">
        <v>868</v>
      </c>
      <c r="D52" s="93"/>
      <c r="E52" s="66" t="s">
        <v>885</v>
      </c>
      <c r="F52" s="67" t="s">
        <v>886</v>
      </c>
      <c r="G52" s="40" t="s">
        <v>943</v>
      </c>
      <c r="H52" s="71" t="s">
        <v>949</v>
      </c>
      <c r="I52" s="85" t="s">
        <v>973</v>
      </c>
    </row>
    <row r="53" spans="1:9" s="28" customFormat="1" x14ac:dyDescent="0.3">
      <c r="A53" s="45" t="s">
        <v>197</v>
      </c>
      <c r="B53" s="91"/>
      <c r="C53" s="91" t="s">
        <v>887</v>
      </c>
      <c r="D53" s="45"/>
      <c r="E53" s="91" t="s">
        <v>888</v>
      </c>
      <c r="F53" s="91" t="s">
        <v>889</v>
      </c>
      <c r="G53" s="40" t="s">
        <v>943</v>
      </c>
      <c r="H53" s="71" t="s">
        <v>949</v>
      </c>
      <c r="I53" s="85" t="s">
        <v>973</v>
      </c>
    </row>
    <row r="54" spans="1:9" s="28" customFormat="1" ht="86.4" x14ac:dyDescent="0.3">
      <c r="A54" s="92" t="s">
        <v>149</v>
      </c>
      <c r="B54" s="49"/>
      <c r="C54" s="49" t="s">
        <v>868</v>
      </c>
      <c r="D54" s="93"/>
      <c r="E54" s="66" t="s">
        <v>831</v>
      </c>
      <c r="F54" s="67" t="s">
        <v>892</v>
      </c>
      <c r="G54" s="40" t="s">
        <v>943</v>
      </c>
      <c r="H54" s="71" t="s">
        <v>949</v>
      </c>
      <c r="I54" s="85" t="s">
        <v>972</v>
      </c>
    </row>
    <row r="55" spans="1:9" s="28" customFormat="1" ht="129.6" x14ac:dyDescent="0.3">
      <c r="A55" s="35" t="str">
        <f>CONCATENATE(B55,"-",D55)</f>
        <v>EP41-US01</v>
      </c>
      <c r="B55" s="91" t="s">
        <v>267</v>
      </c>
      <c r="C55" s="91" t="s">
        <v>740</v>
      </c>
      <c r="D55" s="57" t="s">
        <v>274</v>
      </c>
      <c r="E55" s="91" t="s">
        <v>741</v>
      </c>
      <c r="F55" s="103" t="s">
        <v>742</v>
      </c>
      <c r="G55" s="29" t="s">
        <v>944</v>
      </c>
      <c r="H55" s="73" t="s">
        <v>965</v>
      </c>
      <c r="I55" s="73" t="s">
        <v>973</v>
      </c>
    </row>
    <row r="56" spans="1:9" s="28" customFormat="1" ht="28.8" x14ac:dyDescent="0.3">
      <c r="A56" s="85" t="s">
        <v>76</v>
      </c>
      <c r="B56" s="91"/>
      <c r="C56" s="91"/>
      <c r="D56" s="91"/>
      <c r="E56" s="66" t="s">
        <v>754</v>
      </c>
      <c r="F56" s="103"/>
      <c r="G56" s="29" t="s">
        <v>941</v>
      </c>
      <c r="H56" s="71" t="s">
        <v>965</v>
      </c>
      <c r="I56" s="85" t="s">
        <v>973</v>
      </c>
    </row>
    <row r="57" spans="1:9" s="28" customFormat="1" ht="28.8" x14ac:dyDescent="0.3">
      <c r="A57" s="85" t="s">
        <v>80</v>
      </c>
      <c r="B57" s="91"/>
      <c r="C57" s="91"/>
      <c r="D57" s="91"/>
      <c r="E57" s="66" t="s">
        <v>758</v>
      </c>
      <c r="F57" s="103"/>
      <c r="G57" s="29" t="s">
        <v>941</v>
      </c>
      <c r="H57" s="73" t="s">
        <v>965</v>
      </c>
      <c r="I57" s="85" t="s">
        <v>973</v>
      </c>
    </row>
    <row r="58" spans="1:9" s="28" customFormat="1" ht="28.8" x14ac:dyDescent="0.3">
      <c r="A58" s="35" t="str">
        <f>CONCATENATE(B58,"-",D58)</f>
        <v>EP08-US01</v>
      </c>
      <c r="B58" s="29" t="s">
        <v>238</v>
      </c>
      <c r="C58" s="29" t="s">
        <v>373</v>
      </c>
      <c r="D58" s="99" t="s">
        <v>274</v>
      </c>
      <c r="E58" s="88" t="s">
        <v>374</v>
      </c>
      <c r="F58" s="88" t="s">
        <v>375</v>
      </c>
      <c r="G58" s="29" t="s">
        <v>942</v>
      </c>
      <c r="H58" s="73" t="s">
        <v>954</v>
      </c>
      <c r="I58" s="73" t="s">
        <v>973</v>
      </c>
    </row>
    <row r="59" spans="1:9" s="28" customFormat="1" ht="28.8" x14ac:dyDescent="0.3">
      <c r="A59" s="35" t="str">
        <f>CONCATENATE(B59,"-",D59)</f>
        <v>EP08-US02</v>
      </c>
      <c r="B59" s="29" t="s">
        <v>238</v>
      </c>
      <c r="C59" s="29" t="s">
        <v>373</v>
      </c>
      <c r="D59" s="99" t="s">
        <v>276</v>
      </c>
      <c r="E59" s="88" t="s">
        <v>376</v>
      </c>
      <c r="F59" s="88" t="s">
        <v>377</v>
      </c>
      <c r="G59" s="29" t="s">
        <v>942</v>
      </c>
      <c r="H59" s="73" t="s">
        <v>954</v>
      </c>
      <c r="I59" s="73" t="s">
        <v>973</v>
      </c>
    </row>
    <row r="60" spans="1:9" s="28" customFormat="1" ht="28.8" x14ac:dyDescent="0.3">
      <c r="A60" s="35" t="str">
        <f>CONCATENATE(B60,"-",D60)</f>
        <v>EP08-US03</v>
      </c>
      <c r="B60" s="29" t="s">
        <v>238</v>
      </c>
      <c r="C60" s="29" t="s">
        <v>373</v>
      </c>
      <c r="D60" s="99" t="s">
        <v>278</v>
      </c>
      <c r="E60" s="88" t="s">
        <v>378</v>
      </c>
      <c r="F60" s="88" t="s">
        <v>379</v>
      </c>
      <c r="G60" s="29" t="s">
        <v>942</v>
      </c>
      <c r="H60" s="73" t="s">
        <v>954</v>
      </c>
      <c r="I60" s="73" t="s">
        <v>973</v>
      </c>
    </row>
    <row r="61" spans="1:9" s="28" customFormat="1" ht="28.8" x14ac:dyDescent="0.3">
      <c r="A61" s="35" t="str">
        <f>CONCATENATE(B61,"-",D61)</f>
        <v>EP08-US04</v>
      </c>
      <c r="B61" s="29" t="s">
        <v>238</v>
      </c>
      <c r="C61" s="29" t="s">
        <v>373</v>
      </c>
      <c r="D61" s="98" t="s">
        <v>294</v>
      </c>
      <c r="E61" s="88" t="s">
        <v>380</v>
      </c>
      <c r="F61" s="88" t="s">
        <v>381</v>
      </c>
      <c r="G61" s="29" t="s">
        <v>942</v>
      </c>
      <c r="H61" s="73" t="s">
        <v>954</v>
      </c>
      <c r="I61" s="73" t="s">
        <v>973</v>
      </c>
    </row>
    <row r="62" spans="1:9" s="28" customFormat="1" ht="28.8" x14ac:dyDescent="0.3">
      <c r="A62" s="35" t="str">
        <f>CONCATENATE(B62,"-",D62)</f>
        <v>EP08-US05</v>
      </c>
      <c r="B62" s="29" t="s">
        <v>238</v>
      </c>
      <c r="C62" s="29" t="s">
        <v>373</v>
      </c>
      <c r="D62" s="98" t="s">
        <v>297</v>
      </c>
      <c r="E62" s="88" t="s">
        <v>382</v>
      </c>
      <c r="F62" s="88" t="s">
        <v>383</v>
      </c>
      <c r="G62" s="29" t="s">
        <v>942</v>
      </c>
      <c r="H62" s="73" t="s">
        <v>954</v>
      </c>
      <c r="I62" s="73" t="s">
        <v>973</v>
      </c>
    </row>
    <row r="63" spans="1:9" s="28" customFormat="1" ht="57.6" x14ac:dyDescent="0.3">
      <c r="A63" s="35" t="str">
        <f>CONCATENATE(B63,"-",D63)</f>
        <v>EP09-US03</v>
      </c>
      <c r="B63" s="29" t="s">
        <v>239</v>
      </c>
      <c r="C63" s="29" t="s">
        <v>386</v>
      </c>
      <c r="D63" s="57" t="s">
        <v>278</v>
      </c>
      <c r="E63" s="88" t="s">
        <v>391</v>
      </c>
      <c r="F63" s="88" t="s">
        <v>392</v>
      </c>
      <c r="G63" s="29" t="s">
        <v>942</v>
      </c>
      <c r="H63" s="73" t="s">
        <v>954</v>
      </c>
      <c r="I63" s="73" t="s">
        <v>973</v>
      </c>
    </row>
    <row r="64" spans="1:9" s="28" customFormat="1" ht="57.6" x14ac:dyDescent="0.3">
      <c r="A64" s="35" t="str">
        <f>CONCATENATE(B64,"-",D64)</f>
        <v>EP09-US04</v>
      </c>
      <c r="B64" s="29" t="s">
        <v>239</v>
      </c>
      <c r="C64" s="29" t="s">
        <v>386</v>
      </c>
      <c r="D64" s="73" t="s">
        <v>294</v>
      </c>
      <c r="E64" s="88" t="s">
        <v>393</v>
      </c>
      <c r="F64" s="88" t="s">
        <v>394</v>
      </c>
      <c r="G64" s="29" t="s">
        <v>942</v>
      </c>
      <c r="H64" s="71" t="s">
        <v>954</v>
      </c>
      <c r="I64" s="73" t="s">
        <v>973</v>
      </c>
    </row>
    <row r="65" spans="1:9" s="28" customFormat="1" ht="57.6" x14ac:dyDescent="0.3">
      <c r="A65" s="35" t="str">
        <f>CONCATENATE(B65,"-",D65)</f>
        <v>EP10-US02</v>
      </c>
      <c r="B65" s="29" t="s">
        <v>240</v>
      </c>
      <c r="C65" s="29" t="s">
        <v>411</v>
      </c>
      <c r="D65" s="57" t="s">
        <v>276</v>
      </c>
      <c r="E65" s="88" t="s">
        <v>378</v>
      </c>
      <c r="F65" s="88" t="s">
        <v>379</v>
      </c>
      <c r="G65" s="29" t="s">
        <v>942</v>
      </c>
      <c r="H65" s="73" t="s">
        <v>954</v>
      </c>
      <c r="I65" s="73" t="s">
        <v>973</v>
      </c>
    </row>
    <row r="66" spans="1:9" s="28" customFormat="1" ht="57.6" x14ac:dyDescent="0.3">
      <c r="A66" s="35" t="str">
        <f>CONCATENATE(B66,"-",D66)</f>
        <v>EP10-US03</v>
      </c>
      <c r="B66" s="29" t="s">
        <v>240</v>
      </c>
      <c r="C66" s="29" t="s">
        <v>411</v>
      </c>
      <c r="D66" s="57" t="s">
        <v>278</v>
      </c>
      <c r="E66" s="88" t="s">
        <v>380</v>
      </c>
      <c r="F66" s="88" t="s">
        <v>381</v>
      </c>
      <c r="G66" s="29" t="s">
        <v>942</v>
      </c>
      <c r="H66" s="73" t="s">
        <v>954</v>
      </c>
      <c r="I66" s="73" t="s">
        <v>973</v>
      </c>
    </row>
    <row r="67" spans="1:9" s="28" customFormat="1" ht="57.6" x14ac:dyDescent="0.3">
      <c r="A67" s="35" t="str">
        <f>CONCATENATE(B67,"-",D67)</f>
        <v>EP10-US04</v>
      </c>
      <c r="B67" s="29" t="s">
        <v>240</v>
      </c>
      <c r="C67" s="29" t="s">
        <v>411</v>
      </c>
      <c r="D67" s="73" t="s">
        <v>294</v>
      </c>
      <c r="E67" s="88" t="s">
        <v>382</v>
      </c>
      <c r="F67" s="88" t="s">
        <v>383</v>
      </c>
      <c r="G67" s="29" t="s">
        <v>942</v>
      </c>
      <c r="H67" s="73" t="s">
        <v>954</v>
      </c>
      <c r="I67" s="73" t="s">
        <v>973</v>
      </c>
    </row>
    <row r="68" spans="1:9" s="28" customFormat="1" ht="57.6" x14ac:dyDescent="0.3">
      <c r="A68" s="35" t="str">
        <f>CONCATENATE(B68,"-",D68)</f>
        <v>EP10-US06</v>
      </c>
      <c r="B68" s="29" t="s">
        <v>240</v>
      </c>
      <c r="C68" s="29" t="s">
        <v>411</v>
      </c>
      <c r="D68" s="98" t="s">
        <v>300</v>
      </c>
      <c r="E68" s="88" t="s">
        <v>412</v>
      </c>
      <c r="F68" s="88" t="s">
        <v>413</v>
      </c>
      <c r="G68" s="29" t="s">
        <v>942</v>
      </c>
      <c r="H68" s="73" t="s">
        <v>954</v>
      </c>
      <c r="I68" s="73" t="s">
        <v>973</v>
      </c>
    </row>
    <row r="69" spans="1:9" s="28" customFormat="1" ht="57.6" x14ac:dyDescent="0.3">
      <c r="A69" s="35" t="str">
        <f>CONCATENATE(B69,"-",D69)</f>
        <v>EP10-US07</v>
      </c>
      <c r="B69" s="29" t="s">
        <v>240</v>
      </c>
      <c r="C69" s="29" t="s">
        <v>411</v>
      </c>
      <c r="D69" s="29" t="s">
        <v>347</v>
      </c>
      <c r="E69" s="88" t="s">
        <v>414</v>
      </c>
      <c r="F69" s="88" t="s">
        <v>415</v>
      </c>
      <c r="G69" s="29" t="s">
        <v>942</v>
      </c>
      <c r="H69" s="73" t="s">
        <v>954</v>
      </c>
      <c r="I69" s="73" t="s">
        <v>973</v>
      </c>
    </row>
    <row r="70" spans="1:9" s="28" customFormat="1" ht="57.6" x14ac:dyDescent="0.3">
      <c r="A70" s="35" t="str">
        <f>CONCATENATE(B70,"-",D70)</f>
        <v>EP10-US08</v>
      </c>
      <c r="B70" s="29" t="s">
        <v>240</v>
      </c>
      <c r="C70" s="29" t="s">
        <v>411</v>
      </c>
      <c r="D70" s="29" t="s">
        <v>350</v>
      </c>
      <c r="E70" s="88" t="s">
        <v>416</v>
      </c>
      <c r="F70" s="88" t="s">
        <v>417</v>
      </c>
      <c r="G70" s="29" t="s">
        <v>942</v>
      </c>
      <c r="H70" s="73" t="s">
        <v>954</v>
      </c>
      <c r="I70" s="73" t="s">
        <v>973</v>
      </c>
    </row>
    <row r="71" spans="1:9" s="28" customFormat="1" ht="57.6" x14ac:dyDescent="0.3">
      <c r="A71" s="35" t="str">
        <f>CONCATENATE(B71,"-",D71)</f>
        <v>EP10-US09</v>
      </c>
      <c r="B71" s="29" t="s">
        <v>240</v>
      </c>
      <c r="C71" s="29" t="s">
        <v>411</v>
      </c>
      <c r="D71" s="29" t="s">
        <v>370</v>
      </c>
      <c r="E71" s="88" t="s">
        <v>418</v>
      </c>
      <c r="F71" s="88" t="s">
        <v>419</v>
      </c>
      <c r="G71" s="29" t="s">
        <v>942</v>
      </c>
      <c r="H71" s="73" t="s">
        <v>954</v>
      </c>
      <c r="I71" s="73" t="s">
        <v>973</v>
      </c>
    </row>
    <row r="72" spans="1:9" s="28" customFormat="1" ht="57.6" x14ac:dyDescent="0.3">
      <c r="A72" s="35" t="str">
        <f>CONCATENATE(B72,"-",D72)</f>
        <v>EP13-US03</v>
      </c>
      <c r="B72" s="29" t="s">
        <v>243</v>
      </c>
      <c r="C72" s="29" t="s">
        <v>452</v>
      </c>
      <c r="D72" s="57" t="s">
        <v>278</v>
      </c>
      <c r="E72" s="88" t="s">
        <v>391</v>
      </c>
      <c r="F72" s="88" t="s">
        <v>392</v>
      </c>
      <c r="G72" s="29" t="s">
        <v>942</v>
      </c>
      <c r="H72" s="73" t="s">
        <v>954</v>
      </c>
      <c r="I72" s="73" t="s">
        <v>973</v>
      </c>
    </row>
    <row r="73" spans="1:9" s="28" customFormat="1" ht="57.6" x14ac:dyDescent="0.3">
      <c r="A73" s="35" t="str">
        <f>CONCATENATE(B73,"-",D73)</f>
        <v>EP13-US04</v>
      </c>
      <c r="B73" s="29" t="s">
        <v>243</v>
      </c>
      <c r="C73" s="29" t="s">
        <v>452</v>
      </c>
      <c r="D73" s="73" t="s">
        <v>294</v>
      </c>
      <c r="E73" s="88" t="s">
        <v>393</v>
      </c>
      <c r="F73" s="88" t="s">
        <v>394</v>
      </c>
      <c r="G73" s="29" t="s">
        <v>942</v>
      </c>
      <c r="H73" s="71" t="s">
        <v>954</v>
      </c>
      <c r="I73" s="73" t="s">
        <v>973</v>
      </c>
    </row>
    <row r="74" spans="1:9" s="28" customFormat="1" ht="43.2" x14ac:dyDescent="0.3">
      <c r="A74" s="35" t="str">
        <f>CONCATENATE(B74,"-",D74)</f>
        <v>EP14-US01</v>
      </c>
      <c r="B74" s="29" t="s">
        <v>244</v>
      </c>
      <c r="C74" s="29" t="s">
        <v>453</v>
      </c>
      <c r="D74" s="57" t="s">
        <v>274</v>
      </c>
      <c r="E74" s="88" t="s">
        <v>374</v>
      </c>
      <c r="F74" s="88" t="s">
        <v>375</v>
      </c>
      <c r="G74" s="29" t="s">
        <v>942</v>
      </c>
      <c r="H74" s="73" t="s">
        <v>954</v>
      </c>
      <c r="I74" s="73" t="s">
        <v>973</v>
      </c>
    </row>
    <row r="75" spans="1:9" s="28" customFormat="1" ht="43.2" x14ac:dyDescent="0.3">
      <c r="A75" s="35" t="str">
        <f>CONCATENATE(B75,"-",D75)</f>
        <v>EP14-US02</v>
      </c>
      <c r="B75" s="29" t="s">
        <v>244</v>
      </c>
      <c r="C75" s="29" t="s">
        <v>453</v>
      </c>
      <c r="D75" s="57" t="s">
        <v>276</v>
      </c>
      <c r="E75" s="88" t="s">
        <v>376</v>
      </c>
      <c r="F75" s="88" t="s">
        <v>377</v>
      </c>
      <c r="G75" s="29" t="s">
        <v>942</v>
      </c>
      <c r="H75" s="73" t="s">
        <v>954</v>
      </c>
      <c r="I75" s="73" t="s">
        <v>973</v>
      </c>
    </row>
    <row r="76" spans="1:9" s="28" customFormat="1" ht="43.2" x14ac:dyDescent="0.3">
      <c r="A76" s="35" t="str">
        <f>CONCATENATE(B76,"-",D76)</f>
        <v>EP14-US03</v>
      </c>
      <c r="B76" s="29" t="s">
        <v>244</v>
      </c>
      <c r="C76" s="29" t="s">
        <v>453</v>
      </c>
      <c r="D76" s="57" t="s">
        <v>278</v>
      </c>
      <c r="E76" s="88" t="s">
        <v>378</v>
      </c>
      <c r="F76" s="88" t="s">
        <v>379</v>
      </c>
      <c r="G76" s="29" t="s">
        <v>942</v>
      </c>
      <c r="H76" s="73" t="s">
        <v>954</v>
      </c>
      <c r="I76" s="73" t="s">
        <v>973</v>
      </c>
    </row>
    <row r="77" spans="1:9" s="28" customFormat="1" ht="43.2" x14ac:dyDescent="0.3">
      <c r="A77" s="35" t="str">
        <f>CONCATENATE(B77,"-",D77)</f>
        <v>EP14-US04</v>
      </c>
      <c r="B77" s="29" t="s">
        <v>244</v>
      </c>
      <c r="C77" s="29" t="s">
        <v>453</v>
      </c>
      <c r="D77" s="73" t="s">
        <v>294</v>
      </c>
      <c r="E77" s="88" t="s">
        <v>380</v>
      </c>
      <c r="F77" s="88" t="s">
        <v>381</v>
      </c>
      <c r="G77" s="29" t="s">
        <v>942</v>
      </c>
      <c r="H77" s="73" t="s">
        <v>954</v>
      </c>
      <c r="I77" s="73" t="s">
        <v>973</v>
      </c>
    </row>
    <row r="78" spans="1:9" s="28" customFormat="1" ht="43.2" x14ac:dyDescent="0.3">
      <c r="A78" s="35" t="str">
        <f>CONCATENATE(B78,"-",D78)</f>
        <v>EP14-US05</v>
      </c>
      <c r="B78" s="29" t="s">
        <v>244</v>
      </c>
      <c r="C78" s="29" t="s">
        <v>453</v>
      </c>
      <c r="D78" s="73" t="s">
        <v>297</v>
      </c>
      <c r="E78" s="88" t="s">
        <v>382</v>
      </c>
      <c r="F78" s="88" t="s">
        <v>383</v>
      </c>
      <c r="G78" s="29" t="s">
        <v>942</v>
      </c>
      <c r="H78" s="73" t="s">
        <v>954</v>
      </c>
      <c r="I78" s="73" t="s">
        <v>973</v>
      </c>
    </row>
    <row r="79" spans="1:9" s="28" customFormat="1" ht="43.2" x14ac:dyDescent="0.3">
      <c r="A79" s="35" t="str">
        <f>CONCATENATE(B79,"-",D79)</f>
        <v>EP14-US07</v>
      </c>
      <c r="B79" s="29" t="s">
        <v>244</v>
      </c>
      <c r="C79" s="29" t="s">
        <v>453</v>
      </c>
      <c r="D79" s="73" t="s">
        <v>347</v>
      </c>
      <c r="E79" s="88" t="s">
        <v>412</v>
      </c>
      <c r="F79" s="88" t="s">
        <v>413</v>
      </c>
      <c r="G79" s="29" t="s">
        <v>942</v>
      </c>
      <c r="H79" s="73" t="s">
        <v>954</v>
      </c>
      <c r="I79" s="73" t="s">
        <v>973</v>
      </c>
    </row>
    <row r="80" spans="1:9" s="28" customFormat="1" ht="43.2" x14ac:dyDescent="0.3">
      <c r="A80" s="35" t="str">
        <f>CONCATENATE(B80,"-",D80)</f>
        <v>EP14-US08</v>
      </c>
      <c r="B80" s="29" t="s">
        <v>244</v>
      </c>
      <c r="C80" s="29" t="s">
        <v>453</v>
      </c>
      <c r="D80" s="73" t="s">
        <v>350</v>
      </c>
      <c r="E80" s="88" t="s">
        <v>414</v>
      </c>
      <c r="F80" s="88" t="s">
        <v>415</v>
      </c>
      <c r="G80" s="29" t="s">
        <v>942</v>
      </c>
      <c r="H80" s="73" t="s">
        <v>954</v>
      </c>
      <c r="I80" s="73" t="s">
        <v>973</v>
      </c>
    </row>
    <row r="81" spans="1:9" s="28" customFormat="1" ht="43.2" x14ac:dyDescent="0.3">
      <c r="A81" s="35" t="str">
        <f>CONCATENATE(B81,"-",D81)</f>
        <v>EP14-US09</v>
      </c>
      <c r="B81" s="29" t="s">
        <v>244</v>
      </c>
      <c r="C81" s="29" t="s">
        <v>453</v>
      </c>
      <c r="D81" s="73" t="s">
        <v>370</v>
      </c>
      <c r="E81" s="88" t="s">
        <v>416</v>
      </c>
      <c r="F81" s="88" t="s">
        <v>417</v>
      </c>
      <c r="G81" s="29" t="s">
        <v>942</v>
      </c>
      <c r="H81" s="73" t="s">
        <v>954</v>
      </c>
      <c r="I81" s="73" t="s">
        <v>973</v>
      </c>
    </row>
    <row r="82" spans="1:9" s="28" customFormat="1" ht="43.2" x14ac:dyDescent="0.3">
      <c r="A82" s="35" t="str">
        <f>CONCATENATE(B82,"-",D82)</f>
        <v>EP14-US10</v>
      </c>
      <c r="B82" s="29" t="s">
        <v>244</v>
      </c>
      <c r="C82" s="29" t="s">
        <v>453</v>
      </c>
      <c r="D82" s="73" t="s">
        <v>405</v>
      </c>
      <c r="E82" s="88" t="s">
        <v>418</v>
      </c>
      <c r="F82" s="88" t="s">
        <v>419</v>
      </c>
      <c r="G82" s="29" t="s">
        <v>942</v>
      </c>
      <c r="H82" s="73" t="s">
        <v>954</v>
      </c>
      <c r="I82" s="73" t="s">
        <v>973</v>
      </c>
    </row>
    <row r="83" spans="1:9" s="28" customFormat="1" ht="57.6" x14ac:dyDescent="0.3">
      <c r="A83" s="35" t="str">
        <f>CONCATENATE(B83,"-",D83)</f>
        <v>EP22-US01</v>
      </c>
      <c r="B83" s="29" t="s">
        <v>251</v>
      </c>
      <c r="C83" s="29" t="s">
        <v>568</v>
      </c>
      <c r="D83" s="57" t="s">
        <v>274</v>
      </c>
      <c r="E83" s="88" t="s">
        <v>569</v>
      </c>
      <c r="F83" s="88" t="s">
        <v>570</v>
      </c>
      <c r="G83" s="29" t="s">
        <v>942</v>
      </c>
      <c r="H83" s="73" t="s">
        <v>954</v>
      </c>
      <c r="I83" s="73" t="s">
        <v>973</v>
      </c>
    </row>
    <row r="84" spans="1:9" s="28" customFormat="1" ht="57.6" x14ac:dyDescent="0.3">
      <c r="A84" s="35" t="str">
        <f>CONCATENATE(B84,"-",D84)</f>
        <v>EP22-US02</v>
      </c>
      <c r="B84" s="29" t="s">
        <v>251</v>
      </c>
      <c r="C84" s="29" t="s">
        <v>568</v>
      </c>
      <c r="D84" s="99" t="s">
        <v>276</v>
      </c>
      <c r="E84" s="88" t="s">
        <v>571</v>
      </c>
      <c r="F84" s="88" t="s">
        <v>572</v>
      </c>
      <c r="G84" s="29" t="s">
        <v>942</v>
      </c>
      <c r="H84" s="73" t="s">
        <v>954</v>
      </c>
      <c r="I84" s="73" t="s">
        <v>973</v>
      </c>
    </row>
    <row r="85" spans="1:9" s="28" customFormat="1" ht="57.6" x14ac:dyDescent="0.3">
      <c r="A85" s="35" t="str">
        <f>CONCATENATE(B85,"-",D85)</f>
        <v>EP22-US03</v>
      </c>
      <c r="B85" s="29" t="s">
        <v>251</v>
      </c>
      <c r="C85" s="29" t="s">
        <v>568</v>
      </c>
      <c r="D85" s="99" t="s">
        <v>278</v>
      </c>
      <c r="E85" s="88" t="s">
        <v>573</v>
      </c>
      <c r="F85" s="88" t="s">
        <v>574</v>
      </c>
      <c r="G85" s="29" t="s">
        <v>942</v>
      </c>
      <c r="H85" s="73" t="s">
        <v>954</v>
      </c>
      <c r="I85" s="73" t="s">
        <v>973</v>
      </c>
    </row>
    <row r="86" spans="1:9" s="28" customFormat="1" ht="57.6" x14ac:dyDescent="0.3">
      <c r="A86" s="35" t="str">
        <f>CONCATENATE(B86,"-",D86)</f>
        <v>EP22-US04</v>
      </c>
      <c r="B86" s="29" t="s">
        <v>251</v>
      </c>
      <c r="C86" s="29" t="s">
        <v>568</v>
      </c>
      <c r="D86" s="98" t="s">
        <v>294</v>
      </c>
      <c r="E86" s="88" t="s">
        <v>575</v>
      </c>
      <c r="F86" s="88" t="s">
        <v>576</v>
      </c>
      <c r="G86" s="29" t="s">
        <v>942</v>
      </c>
      <c r="H86" s="73" t="s">
        <v>954</v>
      </c>
      <c r="I86" s="73" t="s">
        <v>973</v>
      </c>
    </row>
    <row r="87" spans="1:9" s="28" customFormat="1" ht="57.6" x14ac:dyDescent="0.3">
      <c r="A87" s="35" t="str">
        <f>CONCATENATE(B87,"-",D87)</f>
        <v>EP22-US06</v>
      </c>
      <c r="B87" s="29" t="s">
        <v>251</v>
      </c>
      <c r="C87" s="29" t="s">
        <v>568</v>
      </c>
      <c r="D87" s="98" t="s">
        <v>300</v>
      </c>
      <c r="E87" s="88" t="s">
        <v>577</v>
      </c>
      <c r="F87" s="88" t="s">
        <v>578</v>
      </c>
      <c r="G87" s="29" t="s">
        <v>942</v>
      </c>
      <c r="H87" s="73" t="s">
        <v>954</v>
      </c>
      <c r="I87" s="73" t="s">
        <v>973</v>
      </c>
    </row>
    <row r="88" spans="1:9" s="28" customFormat="1" ht="28.8" x14ac:dyDescent="0.3">
      <c r="A88" s="35" t="str">
        <f>CONCATENATE(B88,"-",D88)</f>
        <v>EP25-US02</v>
      </c>
      <c r="B88" s="29" t="s">
        <v>254</v>
      </c>
      <c r="C88" s="29" t="s">
        <v>613</v>
      </c>
      <c r="D88" s="57" t="s">
        <v>276</v>
      </c>
      <c r="E88" s="88" t="s">
        <v>614</v>
      </c>
      <c r="F88" s="88" t="s">
        <v>615</v>
      </c>
      <c r="G88" s="29" t="s">
        <v>942</v>
      </c>
      <c r="H88" s="73" t="s">
        <v>954</v>
      </c>
      <c r="I88" s="73" t="s">
        <v>973</v>
      </c>
    </row>
    <row r="89" spans="1:9" s="28" customFormat="1" ht="43.2" x14ac:dyDescent="0.3">
      <c r="A89" s="35" t="str">
        <f>CONCATENATE(B89,"-",D89)</f>
        <v>EP20-US13</v>
      </c>
      <c r="B89" s="29" t="s">
        <v>249</v>
      </c>
      <c r="C89" s="29" t="s">
        <v>514</v>
      </c>
      <c r="D89" s="73" t="s">
        <v>472</v>
      </c>
      <c r="E89" s="88" t="s">
        <v>713</v>
      </c>
      <c r="F89" s="88" t="s">
        <v>714</v>
      </c>
      <c r="G89" s="29" t="s">
        <v>942</v>
      </c>
      <c r="H89" s="71" t="s">
        <v>954</v>
      </c>
      <c r="I89" s="73" t="s">
        <v>973</v>
      </c>
    </row>
    <row r="90" spans="1:9" s="28" customFormat="1" ht="72" x14ac:dyDescent="0.3">
      <c r="A90" s="35" t="str">
        <f>CONCATENATE(B90,"-",D90)</f>
        <v>EP36-US01</v>
      </c>
      <c r="B90" s="29" t="s">
        <v>264</v>
      </c>
      <c r="C90" s="29" t="s">
        <v>715</v>
      </c>
      <c r="D90" s="57" t="s">
        <v>274</v>
      </c>
      <c r="E90" s="88" t="s">
        <v>716</v>
      </c>
      <c r="F90" s="88" t="s">
        <v>717</v>
      </c>
      <c r="G90" s="29" t="s">
        <v>942</v>
      </c>
      <c r="H90" s="73" t="s">
        <v>954</v>
      </c>
      <c r="I90" s="73" t="s">
        <v>973</v>
      </c>
    </row>
    <row r="91" spans="1:9" s="28" customFormat="1" ht="72" x14ac:dyDescent="0.3">
      <c r="A91" s="35" t="str">
        <f>CONCATENATE(B91,"-",D91)</f>
        <v>EP36-US02</v>
      </c>
      <c r="B91" s="29" t="s">
        <v>264</v>
      </c>
      <c r="C91" s="29" t="s">
        <v>715</v>
      </c>
      <c r="D91" s="57" t="s">
        <v>276</v>
      </c>
      <c r="E91" s="88" t="s">
        <v>718</v>
      </c>
      <c r="F91" s="88" t="s">
        <v>719</v>
      </c>
      <c r="G91" s="29" t="s">
        <v>942</v>
      </c>
      <c r="H91" s="73" t="s">
        <v>954</v>
      </c>
      <c r="I91" s="73" t="s">
        <v>973</v>
      </c>
    </row>
    <row r="92" spans="1:9" s="28" customFormat="1" ht="43.2" x14ac:dyDescent="0.3">
      <c r="A92" s="35" t="str">
        <f>CONCATENATE(B92,"-",D92)</f>
        <v>EP38-US01</v>
      </c>
      <c r="B92" s="29" t="s">
        <v>265</v>
      </c>
      <c r="C92" s="29" t="s">
        <v>720</v>
      </c>
      <c r="D92" s="57" t="s">
        <v>274</v>
      </c>
      <c r="E92" s="88" t="s">
        <v>721</v>
      </c>
      <c r="F92" s="88" t="s">
        <v>722</v>
      </c>
      <c r="G92" s="29" t="s">
        <v>942</v>
      </c>
      <c r="H92" s="73" t="s">
        <v>954</v>
      </c>
      <c r="I92" s="73" t="s">
        <v>973</v>
      </c>
    </row>
    <row r="93" spans="1:9" s="28" customFormat="1" ht="43.2" x14ac:dyDescent="0.3">
      <c r="A93" s="35" t="str">
        <f>CONCATENATE(B93,"-",D93)</f>
        <v>EP38-US02</v>
      </c>
      <c r="B93" s="29" t="s">
        <v>265</v>
      </c>
      <c r="C93" s="29" t="s">
        <v>720</v>
      </c>
      <c r="D93" s="57" t="s">
        <v>276</v>
      </c>
      <c r="E93" s="88" t="s">
        <v>723</v>
      </c>
      <c r="F93" s="88" t="s">
        <v>724</v>
      </c>
      <c r="G93" s="29" t="s">
        <v>942</v>
      </c>
      <c r="H93" s="73" t="s">
        <v>954</v>
      </c>
      <c r="I93" s="73" t="s">
        <v>973</v>
      </c>
    </row>
    <row r="94" spans="1:9" s="28" customFormat="1" ht="43.2" x14ac:dyDescent="0.3">
      <c r="A94" s="35" t="str">
        <f>CONCATENATE(B94,"-",D94)</f>
        <v>EP38-US03</v>
      </c>
      <c r="B94" s="29" t="s">
        <v>265</v>
      </c>
      <c r="C94" s="29" t="s">
        <v>720</v>
      </c>
      <c r="D94" s="57" t="s">
        <v>278</v>
      </c>
      <c r="E94" s="88" t="s">
        <v>725</v>
      </c>
      <c r="F94" s="88" t="s">
        <v>726</v>
      </c>
      <c r="G94" s="29" t="s">
        <v>942</v>
      </c>
      <c r="H94" s="73" t="s">
        <v>954</v>
      </c>
      <c r="I94" s="73" t="s">
        <v>973</v>
      </c>
    </row>
    <row r="95" spans="1:9" s="28" customFormat="1" ht="43.2" x14ac:dyDescent="0.3">
      <c r="A95" s="35" t="str">
        <f>CONCATENATE(B95,"-",D95)</f>
        <v>EP38-US04</v>
      </c>
      <c r="B95" s="29" t="s">
        <v>265</v>
      </c>
      <c r="C95" s="29" t="s">
        <v>720</v>
      </c>
      <c r="D95" s="73" t="s">
        <v>294</v>
      </c>
      <c r="E95" s="88" t="s">
        <v>727</v>
      </c>
      <c r="F95" s="88" t="s">
        <v>728</v>
      </c>
      <c r="G95" s="29" t="s">
        <v>942</v>
      </c>
      <c r="H95" s="73" t="s">
        <v>954</v>
      </c>
      <c r="I95" s="73" t="s">
        <v>973</v>
      </c>
    </row>
    <row r="96" spans="1:9" s="28" customFormat="1" ht="43.2" x14ac:dyDescent="0.3">
      <c r="A96" s="35" t="str">
        <f>CONCATENATE(B96,"-",D96)</f>
        <v>EP38-US05</v>
      </c>
      <c r="B96" s="29" t="s">
        <v>265</v>
      </c>
      <c r="C96" s="29" t="s">
        <v>720</v>
      </c>
      <c r="D96" s="73" t="s">
        <v>297</v>
      </c>
      <c r="E96" s="88" t="s">
        <v>729</v>
      </c>
      <c r="F96" s="88" t="s">
        <v>730</v>
      </c>
      <c r="G96" s="29" t="s">
        <v>942</v>
      </c>
      <c r="H96" s="73" t="s">
        <v>954</v>
      </c>
      <c r="I96" s="73" t="s">
        <v>973</v>
      </c>
    </row>
    <row r="97" spans="1:9" s="28" customFormat="1" ht="43.2" x14ac:dyDescent="0.3">
      <c r="A97" s="35" t="str">
        <f>CONCATENATE(B97,"-",D97)</f>
        <v>EP38-US06</v>
      </c>
      <c r="B97" s="29" t="s">
        <v>265</v>
      </c>
      <c r="C97" s="29" t="s">
        <v>720</v>
      </c>
      <c r="D97" s="73" t="s">
        <v>300</v>
      </c>
      <c r="E97" s="88" t="s">
        <v>731</v>
      </c>
      <c r="F97" s="88" t="s">
        <v>732</v>
      </c>
      <c r="G97" s="29" t="s">
        <v>942</v>
      </c>
      <c r="H97" s="73" t="s">
        <v>954</v>
      </c>
      <c r="I97" s="73" t="s">
        <v>973</v>
      </c>
    </row>
    <row r="98" spans="1:9" s="28" customFormat="1" ht="28.8" x14ac:dyDescent="0.3">
      <c r="A98" s="85" t="s">
        <v>80</v>
      </c>
      <c r="B98" s="91"/>
      <c r="C98" s="91"/>
      <c r="D98" s="45"/>
      <c r="E98" s="66" t="s">
        <v>939</v>
      </c>
      <c r="F98" s="103"/>
      <c r="G98" s="29" t="s">
        <v>941</v>
      </c>
      <c r="H98" s="85" t="s">
        <v>954</v>
      </c>
      <c r="I98" s="85" t="s">
        <v>973</v>
      </c>
    </row>
    <row r="99" spans="1:9" s="28" customFormat="1" ht="57.6" x14ac:dyDescent="0.3">
      <c r="A99" s="35" t="str">
        <f>CONCATENATE(B99,"-",D99)</f>
        <v>EP09-US10</v>
      </c>
      <c r="B99" s="29" t="s">
        <v>239</v>
      </c>
      <c r="C99" s="29" t="s">
        <v>386</v>
      </c>
      <c r="D99" s="73" t="s">
        <v>405</v>
      </c>
      <c r="E99" s="88" t="s">
        <v>406</v>
      </c>
      <c r="F99" s="88" t="s">
        <v>407</v>
      </c>
      <c r="G99" s="29" t="s">
        <v>942</v>
      </c>
      <c r="H99" s="108" t="s">
        <v>956</v>
      </c>
      <c r="I99" s="73" t="s">
        <v>973</v>
      </c>
    </row>
    <row r="100" spans="1:9" s="28" customFormat="1" ht="57.6" x14ac:dyDescent="0.3">
      <c r="A100" s="35" t="str">
        <f>CONCATENATE(B100,"-",D100)</f>
        <v>EP10-US05</v>
      </c>
      <c r="B100" s="29" t="s">
        <v>240</v>
      </c>
      <c r="C100" s="29" t="s">
        <v>411</v>
      </c>
      <c r="D100" s="73" t="s">
        <v>297</v>
      </c>
      <c r="E100" s="88" t="s">
        <v>384</v>
      </c>
      <c r="F100" s="88" t="s">
        <v>385</v>
      </c>
      <c r="G100" s="29" t="s">
        <v>942</v>
      </c>
      <c r="H100" s="73" t="s">
        <v>956</v>
      </c>
      <c r="I100" s="73" t="s">
        <v>973</v>
      </c>
    </row>
    <row r="101" spans="1:9" s="28" customFormat="1" ht="57.6" x14ac:dyDescent="0.3">
      <c r="A101" s="35" t="str">
        <f>CONCATENATE(B101,"-",D101)</f>
        <v>EP13-US10</v>
      </c>
      <c r="B101" s="29" t="s">
        <v>243</v>
      </c>
      <c r="C101" s="29" t="s">
        <v>452</v>
      </c>
      <c r="D101" s="73" t="s">
        <v>405</v>
      </c>
      <c r="E101" s="88" t="s">
        <v>406</v>
      </c>
      <c r="F101" s="88" t="s">
        <v>407</v>
      </c>
      <c r="G101" s="29" t="s">
        <v>942</v>
      </c>
      <c r="H101" s="108" t="s">
        <v>956</v>
      </c>
      <c r="I101" s="73" t="s">
        <v>973</v>
      </c>
    </row>
    <row r="102" spans="1:9" s="28" customFormat="1" ht="43.2" x14ac:dyDescent="0.3">
      <c r="A102" s="35" t="str">
        <f>CONCATENATE(B102,"-",D102)</f>
        <v>EP17-US05</v>
      </c>
      <c r="B102" s="29" t="s">
        <v>247</v>
      </c>
      <c r="C102" s="29" t="s">
        <v>484</v>
      </c>
      <c r="D102" s="73" t="s">
        <v>297</v>
      </c>
      <c r="E102" s="88" t="s">
        <v>491</v>
      </c>
      <c r="F102" s="88" t="s">
        <v>492</v>
      </c>
      <c r="G102" s="29" t="s">
        <v>943</v>
      </c>
      <c r="H102" s="108" t="s">
        <v>956</v>
      </c>
      <c r="I102" s="73" t="s">
        <v>973</v>
      </c>
    </row>
    <row r="103" spans="1:9" s="28" customFormat="1" ht="43.2" x14ac:dyDescent="0.3">
      <c r="A103" s="35" t="str">
        <f>CONCATENATE(B103,"-",D103)</f>
        <v>EP20-US06</v>
      </c>
      <c r="B103" s="29" t="s">
        <v>249</v>
      </c>
      <c r="C103" s="29" t="s">
        <v>514</v>
      </c>
      <c r="D103" s="73" t="s">
        <v>300</v>
      </c>
      <c r="E103" s="88" t="s">
        <v>525</v>
      </c>
      <c r="F103" s="88" t="s">
        <v>526</v>
      </c>
      <c r="G103" s="29" t="s">
        <v>941</v>
      </c>
      <c r="H103" s="110" t="s">
        <v>956</v>
      </c>
      <c r="I103" s="85" t="s">
        <v>972</v>
      </c>
    </row>
    <row r="104" spans="1:9" s="28" customFormat="1" ht="43.2" x14ac:dyDescent="0.3">
      <c r="A104" s="35" t="str">
        <f>CONCATENATE(B104,"-",D104)</f>
        <v>EP20-US09</v>
      </c>
      <c r="B104" s="29" t="s">
        <v>249</v>
      </c>
      <c r="C104" s="29" t="s">
        <v>514</v>
      </c>
      <c r="D104" s="73" t="s">
        <v>370</v>
      </c>
      <c r="E104" s="88" t="s">
        <v>533</v>
      </c>
      <c r="F104" s="29" t="s">
        <v>534</v>
      </c>
      <c r="G104" s="90" t="s">
        <v>942</v>
      </c>
      <c r="H104" s="110" t="s">
        <v>956</v>
      </c>
      <c r="I104" s="73" t="s">
        <v>973</v>
      </c>
    </row>
    <row r="105" spans="1:9" s="28" customFormat="1" ht="43.2" x14ac:dyDescent="0.3">
      <c r="A105" s="35" t="str">
        <f>CONCATENATE(B105,"-",D105)</f>
        <v>EP20-US11</v>
      </c>
      <c r="B105" s="29" t="s">
        <v>249</v>
      </c>
      <c r="C105" s="29" t="s">
        <v>514</v>
      </c>
      <c r="D105" s="29" t="s">
        <v>408</v>
      </c>
      <c r="E105" s="88" t="s">
        <v>537</v>
      </c>
      <c r="F105" s="88" t="s">
        <v>538</v>
      </c>
      <c r="G105" s="29" t="s">
        <v>941</v>
      </c>
      <c r="H105" s="41" t="s">
        <v>956</v>
      </c>
      <c r="I105" s="73" t="s">
        <v>973</v>
      </c>
    </row>
    <row r="106" spans="1:9" s="28" customFormat="1" ht="57.6" x14ac:dyDescent="0.3">
      <c r="A106" s="35" t="str">
        <f>CONCATENATE(B106,"-",D106)</f>
        <v>EP22-US09</v>
      </c>
      <c r="B106" s="29" t="s">
        <v>251</v>
      </c>
      <c r="C106" s="29" t="s">
        <v>568</v>
      </c>
      <c r="D106" s="73" t="s">
        <v>370</v>
      </c>
      <c r="E106" s="88" t="s">
        <v>583</v>
      </c>
      <c r="F106" s="88" t="s">
        <v>584</v>
      </c>
      <c r="G106" s="29" t="s">
        <v>942</v>
      </c>
      <c r="H106" s="73" t="s">
        <v>956</v>
      </c>
      <c r="I106" s="73" t="s">
        <v>973</v>
      </c>
    </row>
    <row r="107" spans="1:9" s="28" customFormat="1" ht="28.8" x14ac:dyDescent="0.3">
      <c r="A107" s="35" t="str">
        <f>CONCATENATE(B107,"-",D107)</f>
        <v>EP23-US07</v>
      </c>
      <c r="B107" s="29" t="s">
        <v>252</v>
      </c>
      <c r="C107" s="29" t="s">
        <v>585</v>
      </c>
      <c r="D107" s="73" t="s">
        <v>347</v>
      </c>
      <c r="E107" s="88" t="s">
        <v>598</v>
      </c>
      <c r="F107" s="88" t="s">
        <v>599</v>
      </c>
      <c r="G107" s="90" t="s">
        <v>942</v>
      </c>
      <c r="H107" s="73" t="s">
        <v>956</v>
      </c>
      <c r="I107" s="73" t="s">
        <v>973</v>
      </c>
    </row>
    <row r="108" spans="1:9" s="28" customFormat="1" ht="28.8" x14ac:dyDescent="0.3">
      <c r="A108" s="35" t="str">
        <f>CONCATENATE(B108,"-",D108)</f>
        <v>EP24-US01</v>
      </c>
      <c r="B108" s="29" t="s">
        <v>253</v>
      </c>
      <c r="C108" s="29" t="s">
        <v>606</v>
      </c>
      <c r="D108" s="57" t="s">
        <v>274</v>
      </c>
      <c r="E108" s="88" t="s">
        <v>607</v>
      </c>
      <c r="F108" s="88" t="s">
        <v>608</v>
      </c>
      <c r="G108" s="29" t="s">
        <v>942</v>
      </c>
      <c r="H108" s="73" t="s">
        <v>956</v>
      </c>
      <c r="I108" s="73" t="s">
        <v>973</v>
      </c>
    </row>
    <row r="109" spans="1:9" s="28" customFormat="1" ht="28.8" x14ac:dyDescent="0.3">
      <c r="A109" s="35" t="str">
        <f>CONCATENATE(B109,"-",D109)</f>
        <v>EP25-US03</v>
      </c>
      <c r="B109" s="29" t="s">
        <v>254</v>
      </c>
      <c r="C109" s="29" t="s">
        <v>613</v>
      </c>
      <c r="D109" s="57" t="s">
        <v>278</v>
      </c>
      <c r="E109" s="88" t="s">
        <v>616</v>
      </c>
      <c r="F109" s="88" t="s">
        <v>617</v>
      </c>
      <c r="G109" s="29" t="s">
        <v>942</v>
      </c>
      <c r="H109" s="73" t="s">
        <v>956</v>
      </c>
      <c r="I109" s="73" t="s">
        <v>973</v>
      </c>
    </row>
    <row r="110" spans="1:9" s="28" customFormat="1" ht="28.8" x14ac:dyDescent="0.3">
      <c r="A110" s="35" t="str">
        <f>CONCATENATE(B110,"-",D110)</f>
        <v>EP25-US04</v>
      </c>
      <c r="B110" s="29" t="s">
        <v>254</v>
      </c>
      <c r="C110" s="29" t="s">
        <v>613</v>
      </c>
      <c r="D110" s="73" t="s">
        <v>294</v>
      </c>
      <c r="E110" s="88" t="s">
        <v>618</v>
      </c>
      <c r="F110" s="88" t="s">
        <v>619</v>
      </c>
      <c r="G110" s="29" t="s">
        <v>942</v>
      </c>
      <c r="H110" s="73" t="s">
        <v>956</v>
      </c>
      <c r="I110" s="73" t="s">
        <v>973</v>
      </c>
    </row>
    <row r="111" spans="1:9" s="28" customFormat="1" ht="43.2" x14ac:dyDescent="0.3">
      <c r="A111" s="35" t="str">
        <f>CONCATENATE(B111,"-",D111)</f>
        <v>EP26-US01</v>
      </c>
      <c r="B111" s="29" t="s">
        <v>255</v>
      </c>
      <c r="C111" s="29" t="s">
        <v>620</v>
      </c>
      <c r="D111" s="57" t="s">
        <v>274</v>
      </c>
      <c r="E111" s="88" t="s">
        <v>621</v>
      </c>
      <c r="F111" s="88" t="s">
        <v>622</v>
      </c>
      <c r="G111" s="29" t="s">
        <v>942</v>
      </c>
      <c r="H111" s="73" t="s">
        <v>956</v>
      </c>
      <c r="I111" s="73" t="s">
        <v>973</v>
      </c>
    </row>
    <row r="112" spans="1:9" s="28" customFormat="1" ht="43.2" x14ac:dyDescent="0.3">
      <c r="A112" s="35" t="str">
        <f>CONCATENATE(B112,"-",D112)</f>
        <v>EP26-US03</v>
      </c>
      <c r="B112" s="29" t="s">
        <v>255</v>
      </c>
      <c r="C112" s="29" t="s">
        <v>620</v>
      </c>
      <c r="D112" s="57" t="s">
        <v>278</v>
      </c>
      <c r="E112" s="88" t="s">
        <v>625</v>
      </c>
      <c r="F112" s="88" t="s">
        <v>626</v>
      </c>
      <c r="G112" s="29" t="s">
        <v>942</v>
      </c>
      <c r="H112" s="73" t="s">
        <v>956</v>
      </c>
      <c r="I112" s="73" t="s">
        <v>973</v>
      </c>
    </row>
    <row r="113" spans="1:9" s="28" customFormat="1" ht="57.6" x14ac:dyDescent="0.3">
      <c r="A113" s="35" t="str">
        <f>CONCATENATE(B113,"-",D113)</f>
        <v>EP35-US01</v>
      </c>
      <c r="B113" s="29" t="s">
        <v>263</v>
      </c>
      <c r="C113" s="29" t="s">
        <v>704</v>
      </c>
      <c r="D113" s="57" t="s">
        <v>274</v>
      </c>
      <c r="E113" s="88" t="s">
        <v>705</v>
      </c>
      <c r="F113" s="88" t="s">
        <v>706</v>
      </c>
      <c r="G113" s="29" t="s">
        <v>942</v>
      </c>
      <c r="H113" s="73" t="s">
        <v>956</v>
      </c>
      <c r="I113" s="73" t="s">
        <v>973</v>
      </c>
    </row>
    <row r="114" spans="1:9" s="28" customFormat="1" x14ac:dyDescent="0.3">
      <c r="A114" s="45" t="s">
        <v>217</v>
      </c>
      <c r="B114" s="45"/>
      <c r="C114" s="45" t="s">
        <v>893</v>
      </c>
      <c r="D114" s="45"/>
      <c r="E114" s="45" t="s">
        <v>920</v>
      </c>
      <c r="F114" s="45" t="s">
        <v>491</v>
      </c>
      <c r="G114" s="73" t="s">
        <v>943</v>
      </c>
      <c r="H114" s="106" t="s">
        <v>956</v>
      </c>
      <c r="I114" s="85" t="s">
        <v>973</v>
      </c>
    </row>
    <row r="115" spans="1:9" s="28" customFormat="1" x14ac:dyDescent="0.3">
      <c r="A115" s="73" t="s">
        <v>227</v>
      </c>
      <c r="B115" s="45"/>
      <c r="C115" s="45" t="s">
        <v>893</v>
      </c>
      <c r="D115" s="45"/>
      <c r="E115" s="45" t="s">
        <v>937</v>
      </c>
      <c r="F115" s="59" t="s">
        <v>491</v>
      </c>
      <c r="G115" s="41"/>
      <c r="H115" s="89" t="s">
        <v>956</v>
      </c>
      <c r="I115" s="85" t="s">
        <v>973</v>
      </c>
    </row>
    <row r="116" spans="1:9" s="28" customFormat="1" x14ac:dyDescent="0.3">
      <c r="A116" s="73" t="s">
        <v>228</v>
      </c>
      <c r="B116" s="45"/>
      <c r="C116" s="45" t="s">
        <v>893</v>
      </c>
      <c r="D116" s="45"/>
      <c r="E116" s="45" t="s">
        <v>938</v>
      </c>
      <c r="F116" s="59" t="s">
        <v>491</v>
      </c>
      <c r="G116" s="73"/>
      <c r="H116" s="106" t="s">
        <v>956</v>
      </c>
      <c r="I116" s="85" t="s">
        <v>973</v>
      </c>
    </row>
    <row r="117" spans="1:9" s="28" customFormat="1" ht="72" x14ac:dyDescent="0.3">
      <c r="A117" s="35" t="str">
        <f>CONCATENATE(B117,"-",D117)</f>
        <v>EP42-US01</v>
      </c>
      <c r="B117" s="45" t="s">
        <v>268</v>
      </c>
      <c r="C117" s="45" t="s">
        <v>743</v>
      </c>
      <c r="D117" s="57" t="s">
        <v>274</v>
      </c>
      <c r="E117" s="45" t="s">
        <v>744</v>
      </c>
      <c r="F117" s="59" t="s">
        <v>745</v>
      </c>
      <c r="G117" s="73" t="s">
        <v>942</v>
      </c>
      <c r="H117" s="37" t="s">
        <v>966</v>
      </c>
      <c r="I117" s="73" t="s">
        <v>973</v>
      </c>
    </row>
    <row r="118" spans="1:9" s="28" customFormat="1" ht="100.8" x14ac:dyDescent="0.3">
      <c r="A118" s="35" t="str">
        <f>CONCATENATE(B118,"-",D118)</f>
        <v>EP42-US02</v>
      </c>
      <c r="B118" s="45" t="s">
        <v>268</v>
      </c>
      <c r="C118" s="45" t="s">
        <v>743</v>
      </c>
      <c r="D118" s="57" t="s">
        <v>276</v>
      </c>
      <c r="E118" s="45" t="s">
        <v>746</v>
      </c>
      <c r="F118" s="59" t="s">
        <v>747</v>
      </c>
      <c r="G118" s="29" t="s">
        <v>942</v>
      </c>
      <c r="H118" s="85" t="s">
        <v>966</v>
      </c>
      <c r="I118" s="73" t="s">
        <v>973</v>
      </c>
    </row>
    <row r="119" spans="1:9" s="28" customFormat="1" x14ac:dyDescent="0.3">
      <c r="A119" s="45" t="s">
        <v>198</v>
      </c>
      <c r="B119" s="45"/>
      <c r="C119" s="45" t="s">
        <v>887</v>
      </c>
      <c r="D119" s="45"/>
      <c r="E119" s="45" t="s">
        <v>890</v>
      </c>
      <c r="F119" s="45" t="s">
        <v>891</v>
      </c>
      <c r="G119" s="40" t="s">
        <v>943</v>
      </c>
      <c r="H119" s="108" t="s">
        <v>966</v>
      </c>
      <c r="I119" s="85" t="s">
        <v>973</v>
      </c>
    </row>
    <row r="120" spans="1:9" s="28" customFormat="1" x14ac:dyDescent="0.3">
      <c r="A120" s="45" t="s">
        <v>211</v>
      </c>
      <c r="B120" s="45"/>
      <c r="C120" s="45" t="s">
        <v>893</v>
      </c>
      <c r="D120" s="45"/>
      <c r="E120" s="45" t="s">
        <v>910</v>
      </c>
      <c r="F120" s="45" t="s">
        <v>911</v>
      </c>
      <c r="G120" s="98" t="s">
        <v>943</v>
      </c>
      <c r="H120" s="108" t="s">
        <v>966</v>
      </c>
      <c r="I120" s="85" t="s">
        <v>973</v>
      </c>
    </row>
    <row r="121" spans="1:9" s="28" customFormat="1" x14ac:dyDescent="0.3">
      <c r="A121" s="28" t="s">
        <v>214</v>
      </c>
      <c r="B121" s="46"/>
      <c r="C121" s="46" t="s">
        <v>893</v>
      </c>
      <c r="D121" s="46"/>
      <c r="E121" s="46" t="s">
        <v>904</v>
      </c>
      <c r="F121" s="46" t="s">
        <v>916</v>
      </c>
      <c r="G121" s="98" t="s">
        <v>943</v>
      </c>
      <c r="H121" s="106" t="s">
        <v>966</v>
      </c>
      <c r="I121" s="81" t="s">
        <v>973</v>
      </c>
    </row>
    <row r="122" spans="1:9" s="28" customFormat="1" x14ac:dyDescent="0.3">
      <c r="A122" s="91" t="s">
        <v>215</v>
      </c>
      <c r="B122" s="46"/>
      <c r="C122" s="46" t="s">
        <v>893</v>
      </c>
      <c r="D122" s="46"/>
      <c r="E122" s="46" t="s">
        <v>917</v>
      </c>
      <c r="F122" s="46" t="s">
        <v>918</v>
      </c>
      <c r="G122" s="98" t="s">
        <v>943</v>
      </c>
      <c r="H122" s="106" t="s">
        <v>966</v>
      </c>
      <c r="I122" s="85" t="s">
        <v>973</v>
      </c>
    </row>
    <row r="123" spans="1:9" s="28" customFormat="1" x14ac:dyDescent="0.3">
      <c r="A123" s="91" t="s">
        <v>216</v>
      </c>
      <c r="B123" s="46"/>
      <c r="C123" s="46" t="s">
        <v>893</v>
      </c>
      <c r="D123" s="46"/>
      <c r="E123" s="46" t="s">
        <v>917</v>
      </c>
      <c r="F123" s="46" t="s">
        <v>919</v>
      </c>
      <c r="G123" s="98" t="s">
        <v>943</v>
      </c>
      <c r="H123" s="108" t="s">
        <v>966</v>
      </c>
      <c r="I123" s="81" t="s">
        <v>973</v>
      </c>
    </row>
    <row r="124" spans="1:9" s="28" customFormat="1" x14ac:dyDescent="0.3">
      <c r="A124" s="28" t="s">
        <v>220</v>
      </c>
      <c r="B124" s="46"/>
      <c r="C124" s="46" t="s">
        <v>893</v>
      </c>
      <c r="D124" s="46"/>
      <c r="E124" s="46" t="s">
        <v>925</v>
      </c>
      <c r="F124" s="46" t="s">
        <v>926</v>
      </c>
      <c r="G124" s="41" t="s">
        <v>943</v>
      </c>
      <c r="H124" s="89" t="s">
        <v>966</v>
      </c>
      <c r="I124" s="81" t="s">
        <v>973</v>
      </c>
    </row>
    <row r="125" spans="1:9" s="28" customFormat="1" x14ac:dyDescent="0.3">
      <c r="A125" s="28" t="s">
        <v>225</v>
      </c>
      <c r="B125" s="46"/>
      <c r="C125" s="46" t="s">
        <v>893</v>
      </c>
      <c r="D125" s="46"/>
      <c r="E125" s="46" t="s">
        <v>910</v>
      </c>
      <c r="F125" s="46" t="s">
        <v>933</v>
      </c>
      <c r="G125" s="41" t="s">
        <v>943</v>
      </c>
      <c r="H125" s="106" t="s">
        <v>966</v>
      </c>
      <c r="I125" s="81" t="s">
        <v>973</v>
      </c>
    </row>
    <row r="126" spans="1:9" s="28" customFormat="1" x14ac:dyDescent="0.3">
      <c r="A126" s="28" t="s">
        <v>200</v>
      </c>
      <c r="B126" s="46"/>
      <c r="C126" s="46" t="s">
        <v>893</v>
      </c>
      <c r="D126" s="46"/>
      <c r="E126" s="46" t="s">
        <v>894</v>
      </c>
      <c r="F126" s="46" t="s">
        <v>896</v>
      </c>
      <c r="G126" s="41" t="s">
        <v>943</v>
      </c>
      <c r="H126" s="106" t="s">
        <v>969</v>
      </c>
      <c r="I126" s="81" t="s">
        <v>973</v>
      </c>
    </row>
    <row r="127" spans="1:9" s="28" customFormat="1" x14ac:dyDescent="0.3">
      <c r="A127" s="91" t="s">
        <v>218</v>
      </c>
      <c r="B127" s="46"/>
      <c r="C127" s="46" t="s">
        <v>893</v>
      </c>
      <c r="D127" s="46"/>
      <c r="E127" s="45" t="s">
        <v>921</v>
      </c>
      <c r="F127" s="46" t="s">
        <v>922</v>
      </c>
      <c r="G127" s="41" t="s">
        <v>943</v>
      </c>
      <c r="H127" s="106" t="s">
        <v>969</v>
      </c>
      <c r="I127" s="81" t="s">
        <v>973</v>
      </c>
    </row>
    <row r="128" spans="1:9" s="28" customFormat="1" x14ac:dyDescent="0.3">
      <c r="A128" s="28" t="s">
        <v>219</v>
      </c>
      <c r="B128" s="46"/>
      <c r="C128" s="46" t="s">
        <v>893</v>
      </c>
      <c r="D128" s="46"/>
      <c r="E128" s="45" t="s">
        <v>923</v>
      </c>
      <c r="F128" s="46" t="s">
        <v>924</v>
      </c>
      <c r="G128" s="41" t="s">
        <v>943</v>
      </c>
      <c r="H128" s="106" t="s">
        <v>969</v>
      </c>
      <c r="I128" s="81" t="s">
        <v>973</v>
      </c>
    </row>
    <row r="129" spans="1:9" s="28" customFormat="1" x14ac:dyDescent="0.3">
      <c r="A129" s="28" t="s">
        <v>221</v>
      </c>
      <c r="B129" s="46"/>
      <c r="C129" s="46" t="s">
        <v>893</v>
      </c>
      <c r="D129" s="46"/>
      <c r="E129" s="45" t="s">
        <v>927</v>
      </c>
      <c r="F129" s="46" t="s">
        <v>928</v>
      </c>
      <c r="G129" s="41" t="s">
        <v>943</v>
      </c>
      <c r="H129" s="109" t="s">
        <v>969</v>
      </c>
      <c r="I129" s="81" t="s">
        <v>973</v>
      </c>
    </row>
    <row r="130" spans="1:9" s="28" customFormat="1" x14ac:dyDescent="0.3">
      <c r="A130" s="28" t="s">
        <v>222</v>
      </c>
      <c r="B130" s="46"/>
      <c r="C130" s="46" t="s">
        <v>893</v>
      </c>
      <c r="D130" s="46"/>
      <c r="E130" s="45" t="s">
        <v>929</v>
      </c>
      <c r="F130" s="46" t="s">
        <v>930</v>
      </c>
      <c r="G130" s="41" t="s">
        <v>943</v>
      </c>
      <c r="H130" s="106" t="s">
        <v>969</v>
      </c>
      <c r="I130" s="81" t="s">
        <v>973</v>
      </c>
    </row>
    <row r="131" spans="1:9" s="28" customFormat="1" x14ac:dyDescent="0.3">
      <c r="A131" s="28" t="s">
        <v>224</v>
      </c>
      <c r="B131" s="46"/>
      <c r="C131" s="46" t="s">
        <v>893</v>
      </c>
      <c r="D131" s="46"/>
      <c r="E131" s="45" t="s">
        <v>910</v>
      </c>
      <c r="F131" s="46" t="s">
        <v>932</v>
      </c>
      <c r="G131" s="41" t="s">
        <v>943</v>
      </c>
      <c r="H131" s="112" t="s">
        <v>969</v>
      </c>
      <c r="I131" s="81" t="s">
        <v>973</v>
      </c>
    </row>
    <row r="132" spans="1:9" s="28" customFormat="1" ht="43.2" x14ac:dyDescent="0.3">
      <c r="A132" s="36" t="str">
        <f>CONCATENATE(B132,"-",D132)</f>
        <v>EP15-US11</v>
      </c>
      <c r="B132" s="41" t="s">
        <v>245</v>
      </c>
      <c r="C132" s="41" t="s">
        <v>454</v>
      </c>
      <c r="D132" s="41" t="s">
        <v>408</v>
      </c>
      <c r="E132" s="65" t="s">
        <v>468</v>
      </c>
      <c r="F132" s="61" t="s">
        <v>469</v>
      </c>
      <c r="G132" s="41" t="s">
        <v>943</v>
      </c>
      <c r="H132" s="109" t="s">
        <v>961</v>
      </c>
      <c r="I132" s="41" t="s">
        <v>973</v>
      </c>
    </row>
    <row r="133" spans="1:9" s="28" customFormat="1" x14ac:dyDescent="0.3">
      <c r="A133" s="36" t="s">
        <v>69</v>
      </c>
      <c r="B133" s="46"/>
      <c r="C133" s="46" t="s">
        <v>733</v>
      </c>
      <c r="D133" s="100"/>
      <c r="E133" s="45" t="s">
        <v>734</v>
      </c>
      <c r="F133" s="60" t="s">
        <v>736</v>
      </c>
      <c r="G133" s="75"/>
      <c r="H133" s="106" t="s">
        <v>961</v>
      </c>
      <c r="I133" s="41" t="s">
        <v>973</v>
      </c>
    </row>
    <row r="134" spans="1:9" s="28" customFormat="1" x14ac:dyDescent="0.3">
      <c r="A134" s="36" t="str">
        <f>CONCATENATE(B134,"-",D134)</f>
        <v>-</v>
      </c>
      <c r="B134" s="46"/>
      <c r="C134" s="46" t="s">
        <v>733</v>
      </c>
      <c r="D134" s="100"/>
      <c r="E134" s="45" t="s">
        <v>737</v>
      </c>
      <c r="F134" s="60" t="s">
        <v>736</v>
      </c>
      <c r="G134" s="75"/>
      <c r="H134" s="106" t="s">
        <v>961</v>
      </c>
      <c r="I134" s="41" t="s">
        <v>973</v>
      </c>
    </row>
    <row r="135" spans="1:9" s="28" customFormat="1" x14ac:dyDescent="0.3">
      <c r="A135" s="28" t="s">
        <v>223</v>
      </c>
      <c r="B135" s="91"/>
      <c r="C135" s="91" t="s">
        <v>893</v>
      </c>
      <c r="D135" s="91"/>
      <c r="E135" s="28" t="s">
        <v>904</v>
      </c>
      <c r="F135" s="91" t="s">
        <v>931</v>
      </c>
      <c r="G135" s="41" t="s">
        <v>943</v>
      </c>
      <c r="H135" s="111" t="s">
        <v>961</v>
      </c>
      <c r="I135" s="81" t="s">
        <v>973</v>
      </c>
    </row>
    <row r="136" spans="1:9" s="28" customFormat="1" ht="57.6" x14ac:dyDescent="0.3">
      <c r="A136" s="36" t="str">
        <f>CONCATENATE(B136,"-",D136)</f>
        <v>EP09-US11</v>
      </c>
      <c r="B136" s="29" t="s">
        <v>239</v>
      </c>
      <c r="C136" s="29" t="s">
        <v>386</v>
      </c>
      <c r="D136" s="29" t="s">
        <v>408</v>
      </c>
      <c r="E136" s="88" t="s">
        <v>409</v>
      </c>
      <c r="F136" s="88" t="s">
        <v>410</v>
      </c>
      <c r="G136" s="41" t="s">
        <v>942</v>
      </c>
      <c r="H136" s="106" t="s">
        <v>957</v>
      </c>
      <c r="I136" s="41" t="s">
        <v>973</v>
      </c>
    </row>
    <row r="137" spans="1:9" s="28" customFormat="1" ht="57.6" x14ac:dyDescent="0.3">
      <c r="A137" s="36" t="str">
        <f>CONCATENATE(B137,"-",D137)</f>
        <v>EP13-US11</v>
      </c>
      <c r="B137" s="29" t="s">
        <v>243</v>
      </c>
      <c r="C137" s="29" t="s">
        <v>452</v>
      </c>
      <c r="D137" s="29" t="s">
        <v>408</v>
      </c>
      <c r="E137" s="88" t="s">
        <v>409</v>
      </c>
      <c r="F137" s="88" t="s">
        <v>410</v>
      </c>
      <c r="G137" s="41" t="s">
        <v>942</v>
      </c>
      <c r="H137" s="106" t="s">
        <v>957</v>
      </c>
      <c r="I137" s="41" t="s">
        <v>973</v>
      </c>
    </row>
    <row r="138" spans="1:9" s="28" customFormat="1" ht="57.6" x14ac:dyDescent="0.3">
      <c r="A138" s="36" t="str">
        <f>CONCATENATE(B138,"-",D138)</f>
        <v>EP21-US01</v>
      </c>
      <c r="B138" s="29" t="s">
        <v>250</v>
      </c>
      <c r="C138" s="29" t="s">
        <v>541</v>
      </c>
      <c r="D138" s="99" t="s">
        <v>274</v>
      </c>
      <c r="E138" s="88" t="s">
        <v>542</v>
      </c>
      <c r="F138" s="88" t="s">
        <v>543</v>
      </c>
      <c r="G138" s="41" t="s">
        <v>944</v>
      </c>
      <c r="H138" s="41" t="s">
        <v>957</v>
      </c>
      <c r="I138" s="114" t="s">
        <v>973</v>
      </c>
    </row>
    <row r="139" spans="1:9" s="28" customFormat="1" ht="28.8" x14ac:dyDescent="0.3">
      <c r="A139" s="36" t="str">
        <f>CONCATENATE(B139,"-",D139)</f>
        <v>EP21-US02</v>
      </c>
      <c r="B139" s="29" t="s">
        <v>250</v>
      </c>
      <c r="C139" s="29" t="s">
        <v>541</v>
      </c>
      <c r="D139" s="99" t="s">
        <v>276</v>
      </c>
      <c r="E139" s="88" t="s">
        <v>544</v>
      </c>
      <c r="F139" s="88" t="s">
        <v>545</v>
      </c>
      <c r="G139" s="41" t="s">
        <v>944</v>
      </c>
      <c r="H139" s="41" t="s">
        <v>957</v>
      </c>
      <c r="I139" s="114" t="s">
        <v>973</v>
      </c>
    </row>
    <row r="140" spans="1:9" s="28" customFormat="1" ht="43.2" x14ac:dyDescent="0.3">
      <c r="A140" s="36" t="str">
        <f>CONCATENATE(B140,"-",D140)</f>
        <v>EP21-US03</v>
      </c>
      <c r="B140" s="29" t="s">
        <v>250</v>
      </c>
      <c r="C140" s="29" t="s">
        <v>541</v>
      </c>
      <c r="D140" s="99" t="s">
        <v>278</v>
      </c>
      <c r="E140" s="88" t="s">
        <v>546</v>
      </c>
      <c r="F140" s="88" t="s">
        <v>547</v>
      </c>
      <c r="G140" s="41" t="s">
        <v>944</v>
      </c>
      <c r="H140" s="41" t="s">
        <v>957</v>
      </c>
      <c r="I140" s="41" t="s">
        <v>973</v>
      </c>
    </row>
    <row r="141" spans="1:9" s="28" customFormat="1" ht="86.4" x14ac:dyDescent="0.3">
      <c r="A141" s="36" t="str">
        <f>CONCATENATE(B141,"-",D141)</f>
        <v>EP21-US04</v>
      </c>
      <c r="B141" s="29" t="s">
        <v>250</v>
      </c>
      <c r="C141" s="29" t="s">
        <v>541</v>
      </c>
      <c r="D141" s="98" t="s">
        <v>294</v>
      </c>
      <c r="E141" s="88" t="s">
        <v>548</v>
      </c>
      <c r="F141" s="88" t="s">
        <v>549</v>
      </c>
      <c r="G141" s="41" t="s">
        <v>942</v>
      </c>
      <c r="H141" s="41" t="s">
        <v>957</v>
      </c>
      <c r="I141" s="114" t="s">
        <v>973</v>
      </c>
    </row>
    <row r="142" spans="1:9" s="28" customFormat="1" ht="28.8" x14ac:dyDescent="0.3">
      <c r="A142" s="36" t="str">
        <f>CONCATENATE(B142,"-",D142)</f>
        <v>EP21-US05</v>
      </c>
      <c r="B142" s="29" t="s">
        <v>250</v>
      </c>
      <c r="C142" s="29" t="s">
        <v>541</v>
      </c>
      <c r="D142" s="98" t="s">
        <v>297</v>
      </c>
      <c r="E142" s="88" t="s">
        <v>550</v>
      </c>
      <c r="F142" s="88" t="s">
        <v>551</v>
      </c>
      <c r="G142" s="97" t="s">
        <v>942</v>
      </c>
      <c r="H142" s="41" t="s">
        <v>957</v>
      </c>
      <c r="I142" s="114" t="s">
        <v>973</v>
      </c>
    </row>
    <row r="143" spans="1:9" s="28" customFormat="1" ht="28.8" x14ac:dyDescent="0.3">
      <c r="A143" s="36" t="str">
        <f>CONCATENATE(B143,"-",D143)</f>
        <v>EP21-US06</v>
      </c>
      <c r="B143" s="29" t="s">
        <v>250</v>
      </c>
      <c r="C143" s="29" t="s">
        <v>541</v>
      </c>
      <c r="D143" s="98" t="s">
        <v>300</v>
      </c>
      <c r="E143" s="88" t="s">
        <v>552</v>
      </c>
      <c r="F143" s="88" t="s">
        <v>553</v>
      </c>
      <c r="G143" s="97" t="s">
        <v>942</v>
      </c>
      <c r="H143" s="41" t="s">
        <v>957</v>
      </c>
      <c r="I143" s="114" t="s">
        <v>973</v>
      </c>
    </row>
    <row r="144" spans="1:9" s="28" customFormat="1" ht="28.8" x14ac:dyDescent="0.3">
      <c r="A144" s="36" t="str">
        <f>CONCATENATE(B144,"-",D144)</f>
        <v>EP21-US07</v>
      </c>
      <c r="B144" s="29" t="s">
        <v>250</v>
      </c>
      <c r="C144" s="29" t="s">
        <v>541</v>
      </c>
      <c r="D144" s="29" t="s">
        <v>347</v>
      </c>
      <c r="E144" s="88" t="s">
        <v>554</v>
      </c>
      <c r="F144" s="88" t="s">
        <v>555</v>
      </c>
      <c r="G144" s="97" t="s">
        <v>942</v>
      </c>
      <c r="H144" s="41" t="s">
        <v>957</v>
      </c>
      <c r="I144" s="114" t="s">
        <v>973</v>
      </c>
    </row>
    <row r="145" spans="1:9" s="28" customFormat="1" ht="28.8" x14ac:dyDescent="0.3">
      <c r="A145" s="36" t="str">
        <f>CONCATENATE(B145,"-",D145)</f>
        <v>EP21-US08</v>
      </c>
      <c r="B145" s="29" t="s">
        <v>250</v>
      </c>
      <c r="C145" s="29" t="s">
        <v>541</v>
      </c>
      <c r="D145" s="29" t="s">
        <v>350</v>
      </c>
      <c r="E145" s="88" t="s">
        <v>556</v>
      </c>
      <c r="F145" s="29" t="s">
        <v>557</v>
      </c>
      <c r="G145" s="97" t="s">
        <v>944</v>
      </c>
      <c r="H145" s="41" t="s">
        <v>957</v>
      </c>
      <c r="I145" s="114" t="s">
        <v>973</v>
      </c>
    </row>
    <row r="146" spans="1:9" s="28" customFormat="1" ht="28.8" x14ac:dyDescent="0.3">
      <c r="A146" s="36" t="str">
        <f>CONCATENATE(B146,"-",D146)</f>
        <v>EP21-US09</v>
      </c>
      <c r="B146" s="29" t="s">
        <v>250</v>
      </c>
      <c r="C146" s="29" t="s">
        <v>541</v>
      </c>
      <c r="D146" s="29" t="s">
        <v>370</v>
      </c>
      <c r="E146" s="88" t="s">
        <v>558</v>
      </c>
      <c r="F146" s="29" t="s">
        <v>559</v>
      </c>
      <c r="G146" s="97" t="s">
        <v>944</v>
      </c>
      <c r="H146" s="41" t="s">
        <v>957</v>
      </c>
      <c r="I146" s="114" t="s">
        <v>973</v>
      </c>
    </row>
    <row r="147" spans="1:9" s="28" customFormat="1" ht="72" x14ac:dyDescent="0.3">
      <c r="A147" s="36" t="str">
        <f>CONCATENATE(B147,"-",D147)</f>
        <v>EP21-US10</v>
      </c>
      <c r="B147" s="29" t="s">
        <v>250</v>
      </c>
      <c r="C147" s="29" t="s">
        <v>541</v>
      </c>
      <c r="D147" s="29" t="s">
        <v>405</v>
      </c>
      <c r="E147" s="68" t="s">
        <v>560</v>
      </c>
      <c r="F147" s="68" t="s">
        <v>561</v>
      </c>
      <c r="G147" s="96" t="s">
        <v>944</v>
      </c>
      <c r="H147" s="41" t="s">
        <v>957</v>
      </c>
      <c r="I147" s="113" t="s">
        <v>973</v>
      </c>
    </row>
    <row r="148" spans="1:9" s="28" customFormat="1" ht="28.8" x14ac:dyDescent="0.3">
      <c r="A148" s="36" t="str">
        <f>CONCATENATE(B148,"-",D148)</f>
        <v>EP21-US11</v>
      </c>
      <c r="B148" s="97" t="s">
        <v>250</v>
      </c>
      <c r="C148" s="97" t="s">
        <v>541</v>
      </c>
      <c r="D148" s="97" t="s">
        <v>408</v>
      </c>
      <c r="E148" s="102" t="s">
        <v>562</v>
      </c>
      <c r="F148" s="102" t="s">
        <v>563</v>
      </c>
      <c r="G148" s="97" t="s">
        <v>944</v>
      </c>
      <c r="H148" s="41" t="s">
        <v>957</v>
      </c>
      <c r="I148" s="114" t="s">
        <v>973</v>
      </c>
    </row>
    <row r="149" spans="1:9" s="28" customFormat="1" ht="57.6" x14ac:dyDescent="0.3">
      <c r="A149" s="36" t="str">
        <f>CONCATENATE(B149,"-",D149)</f>
        <v>EP30-US01</v>
      </c>
      <c r="B149" s="97" t="s">
        <v>258</v>
      </c>
      <c r="C149" s="97" t="s">
        <v>653</v>
      </c>
      <c r="D149" s="101" t="s">
        <v>274</v>
      </c>
      <c r="E149" s="73" t="s">
        <v>654</v>
      </c>
      <c r="F149" s="97" t="s">
        <v>655</v>
      </c>
      <c r="G149" s="97" t="s">
        <v>942</v>
      </c>
      <c r="H149" s="98" t="s">
        <v>957</v>
      </c>
      <c r="I149" s="114" t="s">
        <v>973</v>
      </c>
    </row>
    <row r="150" spans="1:9" s="28" customFormat="1" ht="86.4" x14ac:dyDescent="0.3">
      <c r="A150" s="35" t="str">
        <f>CONCATENATE(B150,"-",D150)</f>
        <v>EP30-US02</v>
      </c>
      <c r="B150" s="96" t="s">
        <v>258</v>
      </c>
      <c r="C150" s="96" t="s">
        <v>653</v>
      </c>
      <c r="D150" s="57" t="s">
        <v>276</v>
      </c>
      <c r="E150" s="96" t="s">
        <v>656</v>
      </c>
      <c r="F150" s="96" t="s">
        <v>657</v>
      </c>
      <c r="G150" s="96" t="s">
        <v>942</v>
      </c>
      <c r="H150" s="41" t="s">
        <v>957</v>
      </c>
      <c r="I150" s="113" t="s">
        <v>973</v>
      </c>
    </row>
    <row r="151" spans="1:9" s="28" customFormat="1" ht="28.8" x14ac:dyDescent="0.3">
      <c r="A151" s="36" t="str">
        <f>CONCATENATE(B151,"-",D151)</f>
        <v>EP08-US06</v>
      </c>
      <c r="B151" s="73" t="s">
        <v>238</v>
      </c>
      <c r="C151" s="29" t="s">
        <v>373</v>
      </c>
      <c r="D151" s="73" t="s">
        <v>300</v>
      </c>
      <c r="E151" s="88" t="s">
        <v>384</v>
      </c>
      <c r="F151" s="88" t="s">
        <v>385</v>
      </c>
      <c r="G151" s="41" t="s">
        <v>942</v>
      </c>
      <c r="H151" s="98" t="s">
        <v>955</v>
      </c>
      <c r="I151" s="41" t="s">
        <v>973</v>
      </c>
    </row>
    <row r="152" spans="1:9" s="28" customFormat="1" ht="43.2" x14ac:dyDescent="0.3">
      <c r="A152" s="36" t="str">
        <f>CONCATENATE(B152,"-",D152)</f>
        <v>EP14-US06</v>
      </c>
      <c r="B152" s="73" t="s">
        <v>244</v>
      </c>
      <c r="C152" s="29" t="s">
        <v>453</v>
      </c>
      <c r="D152" s="73" t="s">
        <v>300</v>
      </c>
      <c r="E152" s="88" t="s">
        <v>384</v>
      </c>
      <c r="F152" s="88" t="s">
        <v>385</v>
      </c>
      <c r="G152" s="41" t="s">
        <v>942</v>
      </c>
      <c r="H152" s="98" t="s">
        <v>955</v>
      </c>
      <c r="I152" s="114" t="s">
        <v>973</v>
      </c>
    </row>
    <row r="153" spans="1:9" s="28" customFormat="1" ht="28.8" x14ac:dyDescent="0.3">
      <c r="A153" s="36" t="str">
        <f>CONCATENATE(B153,"-",D153)</f>
        <v>EP16-US02</v>
      </c>
      <c r="B153" s="73" t="s">
        <v>246</v>
      </c>
      <c r="C153" s="29" t="s">
        <v>475</v>
      </c>
      <c r="D153" s="57" t="s">
        <v>276</v>
      </c>
      <c r="E153" s="88" t="s">
        <v>478</v>
      </c>
      <c r="F153" s="29" t="s">
        <v>479</v>
      </c>
      <c r="G153" s="41" t="s">
        <v>943</v>
      </c>
      <c r="H153" s="41" t="s">
        <v>955</v>
      </c>
      <c r="I153" s="114" t="s">
        <v>973</v>
      </c>
    </row>
    <row r="154" spans="1:9" s="28" customFormat="1" ht="43.2" x14ac:dyDescent="0.3">
      <c r="A154" s="36" t="str">
        <f>CONCATENATE(B154,"-",D154)</f>
        <v>EP21-US12</v>
      </c>
      <c r="B154" s="73" t="s">
        <v>250</v>
      </c>
      <c r="C154" s="29" t="s">
        <v>541</v>
      </c>
      <c r="D154" s="73" t="s">
        <v>435</v>
      </c>
      <c r="E154" s="88" t="s">
        <v>564</v>
      </c>
      <c r="F154" s="88" t="s">
        <v>565</v>
      </c>
      <c r="G154" s="41" t="s">
        <v>944</v>
      </c>
      <c r="H154" s="41" t="s">
        <v>955</v>
      </c>
      <c r="I154" s="114" t="s">
        <v>973</v>
      </c>
    </row>
    <row r="155" spans="1:9" s="28" customFormat="1" ht="28.8" x14ac:dyDescent="0.3">
      <c r="A155" s="36" t="str">
        <f>CONCATENATE(B155,"-",D155)</f>
        <v>EP21-US13</v>
      </c>
      <c r="B155" s="73" t="s">
        <v>250</v>
      </c>
      <c r="C155" s="29" t="s">
        <v>541</v>
      </c>
      <c r="D155" s="73" t="s">
        <v>472</v>
      </c>
      <c r="E155" s="88" t="s">
        <v>566</v>
      </c>
      <c r="F155" s="88" t="s">
        <v>567</v>
      </c>
      <c r="G155" s="41" t="s">
        <v>944</v>
      </c>
      <c r="H155" s="98" t="s">
        <v>955</v>
      </c>
      <c r="I155" s="41" t="s">
        <v>973</v>
      </c>
    </row>
    <row r="156" spans="1:9" s="28" customFormat="1" ht="57.6" x14ac:dyDescent="0.3">
      <c r="A156" s="36" t="str">
        <f>CONCATENATE(B156,"-",D156)</f>
        <v>EP22-US07</v>
      </c>
      <c r="B156" s="73" t="s">
        <v>251</v>
      </c>
      <c r="C156" s="29" t="s">
        <v>568</v>
      </c>
      <c r="D156" s="73" t="s">
        <v>347</v>
      </c>
      <c r="E156" s="88" t="s">
        <v>579</v>
      </c>
      <c r="F156" s="88" t="s">
        <v>580</v>
      </c>
      <c r="G156" s="41" t="s">
        <v>942</v>
      </c>
      <c r="H156" s="41" t="s">
        <v>955</v>
      </c>
      <c r="I156" s="114" t="s">
        <v>973</v>
      </c>
    </row>
    <row r="157" spans="1:9" s="28" customFormat="1" ht="57.6" x14ac:dyDescent="0.3">
      <c r="A157" s="36" t="str">
        <f>CONCATENATE(B157,"-",D157)</f>
        <v>EP22-US08</v>
      </c>
      <c r="B157" s="73" t="s">
        <v>251</v>
      </c>
      <c r="C157" s="29" t="s">
        <v>568</v>
      </c>
      <c r="D157" s="73" t="s">
        <v>350</v>
      </c>
      <c r="E157" s="88" t="s">
        <v>581</v>
      </c>
      <c r="F157" s="88" t="s">
        <v>582</v>
      </c>
      <c r="G157" s="41" t="s">
        <v>942</v>
      </c>
      <c r="H157" s="41" t="s">
        <v>955</v>
      </c>
      <c r="I157" s="114" t="s">
        <v>973</v>
      </c>
    </row>
    <row r="158" spans="1:9" s="28" customFormat="1" ht="57.6" x14ac:dyDescent="0.3">
      <c r="A158" s="36" t="str">
        <f>CONCATENATE(B158,"-",D158)</f>
        <v>EP30-US03</v>
      </c>
      <c r="B158" s="73" t="s">
        <v>258</v>
      </c>
      <c r="C158" s="29" t="s">
        <v>653</v>
      </c>
      <c r="D158" s="57" t="s">
        <v>278</v>
      </c>
      <c r="E158" s="88" t="s">
        <v>658</v>
      </c>
      <c r="F158" s="88" t="s">
        <v>659</v>
      </c>
      <c r="G158" s="41" t="s">
        <v>942</v>
      </c>
      <c r="H158" s="41" t="s">
        <v>955</v>
      </c>
      <c r="I158" s="114" t="s">
        <v>973</v>
      </c>
    </row>
    <row r="159" spans="1:9" s="28" customFormat="1" ht="86.4" x14ac:dyDescent="0.3">
      <c r="A159" s="36" t="str">
        <f>CONCATENATE(B159,"-",D159)</f>
        <v>EP30-US04</v>
      </c>
      <c r="B159" s="73" t="s">
        <v>258</v>
      </c>
      <c r="C159" s="29" t="s">
        <v>653</v>
      </c>
      <c r="D159" s="73" t="s">
        <v>294</v>
      </c>
      <c r="E159" s="88" t="s">
        <v>660</v>
      </c>
      <c r="F159" s="88" t="s">
        <v>661</v>
      </c>
      <c r="G159" s="41" t="s">
        <v>942</v>
      </c>
      <c r="H159" s="98" t="s">
        <v>955</v>
      </c>
      <c r="I159" s="41" t="s">
        <v>973</v>
      </c>
    </row>
    <row r="160" spans="1:9" s="28" customFormat="1" ht="86.4" x14ac:dyDescent="0.3">
      <c r="A160" s="36" t="str">
        <f>CONCATENATE(B160,"-",D160)</f>
        <v>EP30-US05</v>
      </c>
      <c r="B160" s="73" t="s">
        <v>258</v>
      </c>
      <c r="C160" s="29" t="s">
        <v>653</v>
      </c>
      <c r="D160" s="73" t="s">
        <v>297</v>
      </c>
      <c r="E160" s="88" t="s">
        <v>662</v>
      </c>
      <c r="F160" s="102" t="s">
        <v>663</v>
      </c>
      <c r="G160" s="41" t="s">
        <v>942</v>
      </c>
      <c r="H160" s="98" t="s">
        <v>955</v>
      </c>
      <c r="I160" s="41" t="s">
        <v>973</v>
      </c>
    </row>
    <row r="161" spans="1:9" s="28" customFormat="1" ht="57.6" x14ac:dyDescent="0.3">
      <c r="A161" s="36" t="str">
        <f>CONCATENATE(B161,"-",D161)</f>
        <v>EP30-US06</v>
      </c>
      <c r="B161" s="73" t="s">
        <v>258</v>
      </c>
      <c r="C161" s="29" t="s">
        <v>653</v>
      </c>
      <c r="D161" s="73" t="s">
        <v>300</v>
      </c>
      <c r="E161" s="88" t="s">
        <v>664</v>
      </c>
      <c r="F161" s="65" t="s">
        <v>665</v>
      </c>
      <c r="G161" s="41" t="s">
        <v>942</v>
      </c>
      <c r="H161" s="98" t="s">
        <v>955</v>
      </c>
      <c r="I161" s="41" t="s">
        <v>973</v>
      </c>
    </row>
    <row r="162" spans="1:9" s="28" customFormat="1" ht="57.6" x14ac:dyDescent="0.3">
      <c r="A162" s="36" t="str">
        <f>CONCATENATE(B162,"-",D162)</f>
        <v>EP30-US07</v>
      </c>
      <c r="B162" s="73" t="s">
        <v>258</v>
      </c>
      <c r="C162" s="97" t="s">
        <v>653</v>
      </c>
      <c r="D162" s="73" t="s">
        <v>347</v>
      </c>
      <c r="E162" s="88" t="s">
        <v>666</v>
      </c>
      <c r="F162" s="65" t="s">
        <v>667</v>
      </c>
      <c r="G162" s="41" t="s">
        <v>942</v>
      </c>
      <c r="H162" s="41" t="s">
        <v>955</v>
      </c>
      <c r="I162" s="114" t="s">
        <v>973</v>
      </c>
    </row>
    <row r="163" spans="1:9" s="28" customFormat="1" ht="57.6" x14ac:dyDescent="0.3">
      <c r="A163" s="36" t="str">
        <f>CONCATENATE(B163,"-",D163)</f>
        <v>EP30-US08</v>
      </c>
      <c r="B163" s="73" t="s">
        <v>258</v>
      </c>
      <c r="C163" s="29" t="s">
        <v>653</v>
      </c>
      <c r="D163" s="73" t="s">
        <v>350</v>
      </c>
      <c r="E163" s="88" t="s">
        <v>668</v>
      </c>
      <c r="F163" s="88" t="s">
        <v>669</v>
      </c>
      <c r="G163" s="41" t="s">
        <v>942</v>
      </c>
      <c r="H163" s="98" t="s">
        <v>955</v>
      </c>
      <c r="I163" s="114" t="s">
        <v>973</v>
      </c>
    </row>
    <row r="164" spans="1:9" s="28" customFormat="1" ht="57.6" x14ac:dyDescent="0.3">
      <c r="A164" s="36" t="str">
        <f>CONCATENATE(B164,"-",D164)</f>
        <v>EP30-US09</v>
      </c>
      <c r="B164" s="73" t="s">
        <v>258</v>
      </c>
      <c r="C164" s="29" t="s">
        <v>653</v>
      </c>
      <c r="D164" s="73" t="s">
        <v>370</v>
      </c>
      <c r="E164" s="88" t="s">
        <v>670</v>
      </c>
      <c r="F164" s="88" t="s">
        <v>671</v>
      </c>
      <c r="G164" s="41" t="s">
        <v>942</v>
      </c>
      <c r="H164" s="41" t="s">
        <v>955</v>
      </c>
      <c r="I164" s="114" t="s">
        <v>973</v>
      </c>
    </row>
    <row r="165" spans="1:9" s="28" customFormat="1" ht="57.6" x14ac:dyDescent="0.3">
      <c r="A165" s="36" t="str">
        <f>CONCATENATE(B165,"-",D165)</f>
        <v>EP30-US10</v>
      </c>
      <c r="B165" s="73" t="s">
        <v>258</v>
      </c>
      <c r="C165" s="29" t="s">
        <v>653</v>
      </c>
      <c r="D165" s="73" t="s">
        <v>405</v>
      </c>
      <c r="E165" s="88" t="s">
        <v>672</v>
      </c>
      <c r="F165" s="68" t="s">
        <v>673</v>
      </c>
      <c r="G165" s="41" t="s">
        <v>942</v>
      </c>
      <c r="H165" s="41" t="s">
        <v>955</v>
      </c>
      <c r="I165" s="113" t="s">
        <v>973</v>
      </c>
    </row>
    <row r="166" spans="1:9" s="28" customFormat="1" ht="57.6" x14ac:dyDescent="0.3">
      <c r="A166" s="36" t="str">
        <f>CONCATENATE(B166,"-",D166)</f>
        <v>EP31-US01</v>
      </c>
      <c r="B166" s="73" t="s">
        <v>259</v>
      </c>
      <c r="C166" s="29" t="s">
        <v>674</v>
      </c>
      <c r="D166" s="57" t="s">
        <v>274</v>
      </c>
      <c r="E166" s="88" t="s">
        <v>675</v>
      </c>
      <c r="F166" s="68" t="s">
        <v>676</v>
      </c>
      <c r="G166" s="41" t="s">
        <v>942</v>
      </c>
      <c r="H166" s="98" t="s">
        <v>955</v>
      </c>
      <c r="I166" s="113" t="s">
        <v>973</v>
      </c>
    </row>
    <row r="167" spans="1:9" s="28" customFormat="1" ht="57.6" x14ac:dyDescent="0.3">
      <c r="A167" s="35" t="str">
        <f>CONCATENATE(B167,"-",D167)</f>
        <v>EP31-US02</v>
      </c>
      <c r="B167" s="73" t="s">
        <v>259</v>
      </c>
      <c r="C167" s="97" t="s">
        <v>674</v>
      </c>
      <c r="D167" s="57" t="s">
        <v>276</v>
      </c>
      <c r="E167" s="102" t="s">
        <v>677</v>
      </c>
      <c r="F167" s="68" t="s">
        <v>678</v>
      </c>
      <c r="G167" s="41" t="s">
        <v>942</v>
      </c>
      <c r="H167" s="98" t="s">
        <v>955</v>
      </c>
      <c r="I167" s="113" t="s">
        <v>973</v>
      </c>
    </row>
    <row r="168" spans="1:9" s="28" customFormat="1" ht="57.6" x14ac:dyDescent="0.3">
      <c r="A168" s="35" t="str">
        <f>CONCATENATE(B168,"-",D168)</f>
        <v>EP31-US04</v>
      </c>
      <c r="B168" s="73" t="s">
        <v>259</v>
      </c>
      <c r="C168" s="96" t="s">
        <v>674</v>
      </c>
      <c r="D168" s="73" t="s">
        <v>294</v>
      </c>
      <c r="E168" s="102" t="s">
        <v>679</v>
      </c>
      <c r="F168" s="68" t="s">
        <v>680</v>
      </c>
      <c r="G168" s="41" t="s">
        <v>942</v>
      </c>
      <c r="H168" s="98" t="s">
        <v>955</v>
      </c>
      <c r="I168" s="113" t="s">
        <v>973</v>
      </c>
    </row>
    <row r="169" spans="1:9" s="28" customFormat="1" ht="43.2" x14ac:dyDescent="0.3">
      <c r="A169" s="85" t="s">
        <v>117</v>
      </c>
      <c r="B169" s="45"/>
      <c r="C169" s="94"/>
      <c r="D169" s="45"/>
      <c r="E169" s="68" t="s">
        <v>799</v>
      </c>
      <c r="F169" s="105" t="s">
        <v>773</v>
      </c>
      <c r="G169" s="41" t="s">
        <v>941</v>
      </c>
      <c r="H169" s="89" t="s">
        <v>955</v>
      </c>
      <c r="I169" s="86" t="s">
        <v>973</v>
      </c>
    </row>
    <row r="170" spans="1:9" s="28" customFormat="1" ht="28.8" x14ac:dyDescent="0.3">
      <c r="A170" s="35" t="str">
        <f>CONCATENATE(B170,"-",D170)</f>
        <v>EP32-US01</v>
      </c>
      <c r="B170" s="73" t="s">
        <v>260</v>
      </c>
      <c r="C170" s="96" t="s">
        <v>681</v>
      </c>
      <c r="D170" s="57" t="s">
        <v>274</v>
      </c>
      <c r="E170" s="68" t="s">
        <v>682</v>
      </c>
      <c r="F170" s="68" t="s">
        <v>683</v>
      </c>
      <c r="G170" s="41" t="s">
        <v>942</v>
      </c>
      <c r="H170" s="98" t="s">
        <v>964</v>
      </c>
      <c r="I170" s="113" t="s">
        <v>973</v>
      </c>
    </row>
    <row r="171" spans="1:9" s="28" customFormat="1" ht="28.8" x14ac:dyDescent="0.3">
      <c r="A171" s="36" t="str">
        <f>CONCATENATE(B171,"-",D171)</f>
        <v>EP32-US02</v>
      </c>
      <c r="B171" s="73" t="s">
        <v>260</v>
      </c>
      <c r="C171" s="96" t="s">
        <v>681</v>
      </c>
      <c r="D171" s="57" t="s">
        <v>276</v>
      </c>
      <c r="E171" s="68" t="s">
        <v>684</v>
      </c>
      <c r="F171" s="68" t="s">
        <v>685</v>
      </c>
      <c r="G171" s="41" t="s">
        <v>942</v>
      </c>
      <c r="H171" s="98" t="s">
        <v>964</v>
      </c>
      <c r="I171" s="113" t="s">
        <v>973</v>
      </c>
    </row>
    <row r="172" spans="1:9" s="28" customFormat="1" ht="28.8" x14ac:dyDescent="0.3">
      <c r="A172" s="36" t="str">
        <f>CONCATENATE(B172,"-",D172)</f>
        <v>EP32-US03</v>
      </c>
      <c r="B172" s="73" t="s">
        <v>260</v>
      </c>
      <c r="C172" s="29" t="s">
        <v>681</v>
      </c>
      <c r="D172" s="57" t="s">
        <v>278</v>
      </c>
      <c r="E172" s="88" t="s">
        <v>686</v>
      </c>
      <c r="F172" s="88" t="s">
        <v>687</v>
      </c>
      <c r="G172" s="41" t="s">
        <v>942</v>
      </c>
      <c r="H172" s="98" t="s">
        <v>964</v>
      </c>
      <c r="I172" s="114" t="s">
        <v>973</v>
      </c>
    </row>
    <row r="173" spans="1:9" s="28" customFormat="1" ht="28.8" x14ac:dyDescent="0.3">
      <c r="A173" s="36" t="str">
        <f>CONCATENATE(B173,"-",D173)</f>
        <v>EP32-US04</v>
      </c>
      <c r="B173" s="73" t="s">
        <v>260</v>
      </c>
      <c r="C173" s="29" t="s">
        <v>681</v>
      </c>
      <c r="D173" s="73" t="s">
        <v>294</v>
      </c>
      <c r="E173" s="88" t="s">
        <v>688</v>
      </c>
      <c r="F173" s="88" t="s">
        <v>689</v>
      </c>
      <c r="G173" s="41" t="s">
        <v>942</v>
      </c>
      <c r="H173" s="98" t="s">
        <v>964</v>
      </c>
      <c r="I173" s="114" t="s">
        <v>973</v>
      </c>
    </row>
    <row r="174" spans="1:9" s="28" customFormat="1" ht="57.6" x14ac:dyDescent="0.3">
      <c r="A174" s="36" t="str">
        <f>CONCATENATE(B174,"-",D174)</f>
        <v>EP33-US01</v>
      </c>
      <c r="B174" s="73" t="s">
        <v>261</v>
      </c>
      <c r="C174" s="29" t="s">
        <v>690</v>
      </c>
      <c r="D174" s="57" t="s">
        <v>274</v>
      </c>
      <c r="E174" s="88" t="s">
        <v>691</v>
      </c>
      <c r="F174" s="88" t="s">
        <v>692</v>
      </c>
      <c r="G174" s="41" t="s">
        <v>942</v>
      </c>
      <c r="H174" s="98" t="s">
        <v>964</v>
      </c>
      <c r="I174" s="114" t="s">
        <v>973</v>
      </c>
    </row>
    <row r="175" spans="1:9" s="28" customFormat="1" ht="57.6" x14ac:dyDescent="0.3">
      <c r="A175" s="36" t="str">
        <f>CONCATENATE(B175,"-",D175)</f>
        <v>EP33-US02</v>
      </c>
      <c r="B175" s="73" t="s">
        <v>261</v>
      </c>
      <c r="C175" s="29" t="s">
        <v>690</v>
      </c>
      <c r="D175" s="57" t="s">
        <v>276</v>
      </c>
      <c r="E175" s="88" t="s">
        <v>693</v>
      </c>
      <c r="F175" s="88" t="s">
        <v>694</v>
      </c>
      <c r="G175" s="41" t="s">
        <v>942</v>
      </c>
      <c r="H175" s="98" t="s">
        <v>964</v>
      </c>
      <c r="I175" s="114" t="s">
        <v>973</v>
      </c>
    </row>
    <row r="176" spans="1:9" s="28" customFormat="1" ht="57.6" x14ac:dyDescent="0.3">
      <c r="A176" s="36" t="str">
        <f>CONCATENATE(B176,"-",D176)</f>
        <v>EP33-US03</v>
      </c>
      <c r="B176" s="73" t="s">
        <v>261</v>
      </c>
      <c r="C176" s="29" t="s">
        <v>690</v>
      </c>
      <c r="D176" s="57" t="s">
        <v>278</v>
      </c>
      <c r="E176" s="88" t="s">
        <v>695</v>
      </c>
      <c r="F176" s="88" t="s">
        <v>696</v>
      </c>
      <c r="G176" s="41" t="s">
        <v>942</v>
      </c>
      <c r="H176" s="98" t="s">
        <v>964</v>
      </c>
      <c r="I176" s="114" t="s">
        <v>973</v>
      </c>
    </row>
    <row r="177" spans="1:9" s="28" customFormat="1" ht="28.8" x14ac:dyDescent="0.3">
      <c r="A177" s="36" t="str">
        <f>CONCATENATE(B177,"-",D177)</f>
        <v>EP34-US01</v>
      </c>
      <c r="B177" s="73" t="s">
        <v>262</v>
      </c>
      <c r="C177" s="29" t="s">
        <v>697</v>
      </c>
      <c r="D177" s="57" t="s">
        <v>274</v>
      </c>
      <c r="E177" s="88" t="s">
        <v>698</v>
      </c>
      <c r="F177" s="88" t="s">
        <v>699</v>
      </c>
      <c r="G177" s="41" t="s">
        <v>942</v>
      </c>
      <c r="H177" s="98" t="s">
        <v>964</v>
      </c>
      <c r="I177" s="114" t="s">
        <v>973</v>
      </c>
    </row>
    <row r="178" spans="1:9" s="28" customFormat="1" ht="28.8" x14ac:dyDescent="0.3">
      <c r="A178" s="36" t="str">
        <f>CONCATENATE(B178,"-",D178)</f>
        <v>EP34-US02</v>
      </c>
      <c r="B178" s="73" t="s">
        <v>262</v>
      </c>
      <c r="C178" s="29" t="s">
        <v>697</v>
      </c>
      <c r="D178" s="57" t="s">
        <v>276</v>
      </c>
      <c r="E178" s="88" t="s">
        <v>700</v>
      </c>
      <c r="F178" s="88" t="s">
        <v>701</v>
      </c>
      <c r="G178" s="41" t="s">
        <v>942</v>
      </c>
      <c r="H178" s="98" t="s">
        <v>964</v>
      </c>
      <c r="I178" s="41" t="s">
        <v>973</v>
      </c>
    </row>
    <row r="179" spans="1:9" s="28" customFormat="1" ht="28.8" x14ac:dyDescent="0.3">
      <c r="A179" s="36" t="str">
        <f>CONCATENATE(B179,"-",D179)</f>
        <v>EP34-US03</v>
      </c>
      <c r="B179" s="41" t="s">
        <v>262</v>
      </c>
      <c r="C179" s="41" t="s">
        <v>697</v>
      </c>
      <c r="D179" s="100" t="s">
        <v>278</v>
      </c>
      <c r="E179" s="61" t="s">
        <v>702</v>
      </c>
      <c r="F179" s="61" t="s">
        <v>703</v>
      </c>
      <c r="G179" s="97" t="s">
        <v>942</v>
      </c>
      <c r="H179" s="41" t="s">
        <v>964</v>
      </c>
      <c r="I179" s="114" t="s">
        <v>973</v>
      </c>
    </row>
    <row r="180" spans="1:9" s="28" customFormat="1" ht="57.6" x14ac:dyDescent="0.3">
      <c r="A180" s="95" t="str">
        <f>CONCATENATE(B180,"-",D180)</f>
        <v>EP35-US02</v>
      </c>
      <c r="B180" s="41" t="s">
        <v>263</v>
      </c>
      <c r="C180" s="41" t="s">
        <v>704</v>
      </c>
      <c r="D180" s="100" t="s">
        <v>276</v>
      </c>
      <c r="E180" s="61" t="s">
        <v>707</v>
      </c>
      <c r="F180" s="61" t="s">
        <v>708</v>
      </c>
      <c r="G180" s="41" t="s">
        <v>942</v>
      </c>
      <c r="H180" s="98" t="s">
        <v>964</v>
      </c>
      <c r="I180" s="113" t="s">
        <v>973</v>
      </c>
    </row>
    <row r="181" spans="1:9" s="28" customFormat="1" ht="57.6" x14ac:dyDescent="0.3">
      <c r="A181" s="95" t="str">
        <f>CONCATENATE(B181,"-",D181)</f>
        <v>EP35-US03</v>
      </c>
      <c r="B181" s="41" t="s">
        <v>263</v>
      </c>
      <c r="C181" s="41" t="s">
        <v>704</v>
      </c>
      <c r="D181" s="100" t="s">
        <v>278</v>
      </c>
      <c r="E181" s="61" t="s">
        <v>709</v>
      </c>
      <c r="F181" s="61" t="s">
        <v>710</v>
      </c>
      <c r="G181" s="41" t="s">
        <v>942</v>
      </c>
      <c r="H181" s="98" t="s">
        <v>964</v>
      </c>
      <c r="I181" s="113" t="s">
        <v>973</v>
      </c>
    </row>
    <row r="182" spans="1:9" s="28" customFormat="1" ht="57.6" x14ac:dyDescent="0.3">
      <c r="A182" s="36" t="str">
        <f>CONCATENATE(B182,"-",D182)</f>
        <v>EP35-US04</v>
      </c>
      <c r="B182" s="41" t="s">
        <v>263</v>
      </c>
      <c r="C182" s="41" t="s">
        <v>704</v>
      </c>
      <c r="D182" s="41" t="s">
        <v>294</v>
      </c>
      <c r="E182" s="61" t="s">
        <v>711</v>
      </c>
      <c r="F182" s="61" t="s">
        <v>712</v>
      </c>
      <c r="G182" s="29" t="s">
        <v>942</v>
      </c>
      <c r="H182" s="73" t="s">
        <v>964</v>
      </c>
      <c r="I182" s="41" t="s">
        <v>973</v>
      </c>
    </row>
    <row r="183" spans="1:9" s="28" customFormat="1" ht="43.2" x14ac:dyDescent="0.3">
      <c r="A183" s="35" t="s">
        <v>1079</v>
      </c>
      <c r="B183" s="29" t="s">
        <v>249</v>
      </c>
      <c r="C183" s="29" t="s">
        <v>514</v>
      </c>
      <c r="D183" s="85" t="s">
        <v>527</v>
      </c>
      <c r="E183" s="88" t="s">
        <v>528</v>
      </c>
      <c r="F183" s="88" t="s">
        <v>526</v>
      </c>
      <c r="G183" s="29" t="s">
        <v>941</v>
      </c>
      <c r="H183" s="92" t="s">
        <v>964</v>
      </c>
      <c r="I183" s="87" t="s">
        <v>973</v>
      </c>
    </row>
    <row r="184" spans="1:9" x14ac:dyDescent="0.3">
      <c r="A184" s="2"/>
    </row>
    <row r="185" spans="1:9" x14ac:dyDescent="0.3">
      <c r="A185" s="2"/>
    </row>
    <row r="186" spans="1:9" x14ac:dyDescent="0.3">
      <c r="A186" s="2"/>
    </row>
    <row r="187" spans="1:9" x14ac:dyDescent="0.3">
      <c r="A187" s="2"/>
    </row>
    <row r="188" spans="1:9" x14ac:dyDescent="0.3">
      <c r="A188" s="2"/>
    </row>
    <row r="189" spans="1:9" x14ac:dyDescent="0.3">
      <c r="A189" s="2"/>
    </row>
    <row r="190" spans="1:9" x14ac:dyDescent="0.3">
      <c r="A190" s="2"/>
    </row>
    <row r="191" spans="1:9" x14ac:dyDescent="0.3">
      <c r="A191" s="2"/>
    </row>
  </sheetData>
  <autoFilter ref="A2:I183">
    <sortState ref="A3:I183">
      <sortCondition ref="H2:H183"/>
    </sortState>
  </autoFilter>
  <conditionalFormatting sqref="A151:A178">
    <cfRule type="duplicateValues" dxfId="11" priority="7"/>
  </conditionalFormatting>
  <conditionalFormatting sqref="A179">
    <cfRule type="duplicateValues" dxfId="10" priority="6"/>
  </conditionalFormatting>
  <conditionalFormatting sqref="A142:A150">
    <cfRule type="duplicateValues" dxfId="9" priority="8"/>
  </conditionalFormatting>
  <conditionalFormatting sqref="A115:A117">
    <cfRule type="duplicateValues" dxfId="8" priority="5"/>
  </conditionalFormatting>
  <conditionalFormatting sqref="A135:A141">
    <cfRule type="duplicateValues" dxfId="7" priority="9"/>
  </conditionalFormatting>
  <conditionalFormatting sqref="A180">
    <cfRule type="duplicateValues" dxfId="6" priority="4"/>
  </conditionalFormatting>
  <conditionalFormatting sqref="A181">
    <cfRule type="duplicateValues" dxfId="5" priority="3"/>
  </conditionalFormatting>
  <conditionalFormatting sqref="A182">
    <cfRule type="duplicateValues" dxfId="4" priority="2"/>
  </conditionalFormatting>
  <conditionalFormatting sqref="A183">
    <cfRule type="duplicateValues" dxfId="3" priority="1"/>
  </conditionalFormatting>
  <conditionalFormatting sqref="A118:A141 A3:A114">
    <cfRule type="duplicateValues" dxfId="2" priority="6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24"/>
  <sheetViews>
    <sheetView zoomScale="83" workbookViewId="0">
      <selection activeCell="A92" sqref="A92:XFD148"/>
    </sheetView>
  </sheetViews>
  <sheetFormatPr baseColWidth="10" defaultRowHeight="14.4" x14ac:dyDescent="0.3"/>
  <cols>
    <col min="6" max="6" width="45" customWidth="1"/>
  </cols>
  <sheetData>
    <row r="1" spans="1:9" ht="43.2" x14ac:dyDescent="0.3">
      <c r="A1" s="32" t="s">
        <v>68</v>
      </c>
      <c r="B1" s="32" t="s">
        <v>229</v>
      </c>
      <c r="C1" s="51" t="s">
        <v>269</v>
      </c>
      <c r="D1" s="51" t="s">
        <v>270</v>
      </c>
      <c r="E1" s="51" t="s">
        <v>271</v>
      </c>
      <c r="F1" s="51" t="s">
        <v>272</v>
      </c>
      <c r="G1" s="51" t="s">
        <v>940</v>
      </c>
      <c r="H1" s="51" t="s">
        <v>946</v>
      </c>
      <c r="I1" s="51" t="s">
        <v>970</v>
      </c>
    </row>
    <row r="2" spans="1:9" ht="86.4" x14ac:dyDescent="0.3">
      <c r="A2" s="33" t="s">
        <v>977</v>
      </c>
      <c r="B2" s="33" t="s">
        <v>230</v>
      </c>
      <c r="C2" s="52" t="s">
        <v>273</v>
      </c>
      <c r="D2" s="52" t="s">
        <v>274</v>
      </c>
      <c r="E2" s="52" t="s">
        <v>275</v>
      </c>
      <c r="F2" s="52"/>
      <c r="G2" s="42" t="s">
        <v>941</v>
      </c>
      <c r="H2" s="42" t="s">
        <v>978</v>
      </c>
      <c r="I2" s="53" t="s">
        <v>971</v>
      </c>
    </row>
    <row r="3" spans="1:9" ht="86.4" x14ac:dyDescent="0.3">
      <c r="A3" s="33" t="s">
        <v>979</v>
      </c>
      <c r="B3" s="33" t="s">
        <v>230</v>
      </c>
      <c r="C3" s="52" t="s">
        <v>273</v>
      </c>
      <c r="D3" s="52" t="s">
        <v>276</v>
      </c>
      <c r="E3" s="52" t="s">
        <v>277</v>
      </c>
      <c r="F3" s="52"/>
      <c r="G3" s="42" t="s">
        <v>941</v>
      </c>
      <c r="H3" s="42" t="s">
        <v>978</v>
      </c>
      <c r="I3" s="53" t="s">
        <v>971</v>
      </c>
    </row>
    <row r="4" spans="1:9" ht="86.4" x14ac:dyDescent="0.3">
      <c r="A4" s="33" t="s">
        <v>980</v>
      </c>
      <c r="B4" s="33" t="s">
        <v>230</v>
      </c>
      <c r="C4" s="52" t="s">
        <v>273</v>
      </c>
      <c r="D4" s="52" t="s">
        <v>278</v>
      </c>
      <c r="E4" s="52" t="s">
        <v>279</v>
      </c>
      <c r="F4" s="52"/>
      <c r="G4" s="42" t="s">
        <v>941</v>
      </c>
      <c r="H4" s="53" t="s">
        <v>947</v>
      </c>
      <c r="I4" s="42" t="s">
        <v>971</v>
      </c>
    </row>
    <row r="5" spans="1:9" ht="409.6" x14ac:dyDescent="0.3">
      <c r="A5" s="33" t="s">
        <v>981</v>
      </c>
      <c r="B5" s="42" t="s">
        <v>231</v>
      </c>
      <c r="C5" s="42" t="s">
        <v>280</v>
      </c>
      <c r="D5" s="52" t="s">
        <v>274</v>
      </c>
      <c r="E5" s="42" t="s">
        <v>281</v>
      </c>
      <c r="F5" s="42" t="s">
        <v>282</v>
      </c>
      <c r="G5" s="42" t="s">
        <v>941</v>
      </c>
      <c r="H5" s="42" t="s">
        <v>18</v>
      </c>
      <c r="I5" s="53" t="s">
        <v>971</v>
      </c>
    </row>
    <row r="6" spans="1:9" ht="360" x14ac:dyDescent="0.3">
      <c r="A6" s="33" t="s">
        <v>982</v>
      </c>
      <c r="B6" s="42" t="s">
        <v>231</v>
      </c>
      <c r="C6" s="42" t="s">
        <v>280</v>
      </c>
      <c r="D6" s="52" t="s">
        <v>276</v>
      </c>
      <c r="E6" s="42" t="s">
        <v>283</v>
      </c>
      <c r="F6" s="42" t="s">
        <v>284</v>
      </c>
      <c r="G6" s="42" t="s">
        <v>941</v>
      </c>
      <c r="H6" s="42" t="s">
        <v>18</v>
      </c>
      <c r="I6" s="53" t="s">
        <v>971</v>
      </c>
    </row>
    <row r="7" spans="1:9" ht="216" x14ac:dyDescent="0.3">
      <c r="A7" s="33" t="s">
        <v>983</v>
      </c>
      <c r="B7" s="42" t="s">
        <v>231</v>
      </c>
      <c r="C7" s="42" t="s">
        <v>280</v>
      </c>
      <c r="D7" s="52" t="s">
        <v>278</v>
      </c>
      <c r="E7" s="42" t="s">
        <v>285</v>
      </c>
      <c r="F7" s="42" t="s">
        <v>286</v>
      </c>
      <c r="G7" s="42" t="s">
        <v>941</v>
      </c>
      <c r="H7" s="42" t="s">
        <v>18</v>
      </c>
      <c r="I7" s="53" t="s">
        <v>971</v>
      </c>
    </row>
    <row r="8" spans="1:9" ht="201.6" x14ac:dyDescent="0.3">
      <c r="A8" s="33" t="s">
        <v>984</v>
      </c>
      <c r="B8" s="42" t="s">
        <v>232</v>
      </c>
      <c r="C8" s="42" t="s">
        <v>287</v>
      </c>
      <c r="D8" s="52" t="s">
        <v>274</v>
      </c>
      <c r="E8" s="42" t="s">
        <v>288</v>
      </c>
      <c r="F8" s="42" t="s">
        <v>289</v>
      </c>
      <c r="G8" s="42" t="s">
        <v>941</v>
      </c>
      <c r="H8" s="42" t="s">
        <v>18</v>
      </c>
      <c r="I8" s="53" t="s">
        <v>971</v>
      </c>
    </row>
    <row r="9" spans="1:9" ht="316.8" x14ac:dyDescent="0.3">
      <c r="A9" s="33" t="s">
        <v>985</v>
      </c>
      <c r="B9" s="42" t="s">
        <v>232</v>
      </c>
      <c r="C9" s="42" t="s">
        <v>287</v>
      </c>
      <c r="D9" s="52" t="s">
        <v>276</v>
      </c>
      <c r="E9" s="42" t="s">
        <v>290</v>
      </c>
      <c r="F9" s="42" t="s">
        <v>291</v>
      </c>
      <c r="G9" s="42" t="s">
        <v>941</v>
      </c>
      <c r="H9" s="42" t="s">
        <v>18</v>
      </c>
      <c r="I9" s="53" t="s">
        <v>971</v>
      </c>
    </row>
    <row r="10" spans="1:9" ht="172.8" x14ac:dyDescent="0.3">
      <c r="A10" s="33" t="s">
        <v>986</v>
      </c>
      <c r="B10" s="42" t="s">
        <v>232</v>
      </c>
      <c r="C10" s="42" t="s">
        <v>287</v>
      </c>
      <c r="D10" s="52" t="s">
        <v>278</v>
      </c>
      <c r="E10" s="42" t="s">
        <v>292</v>
      </c>
      <c r="F10" s="42" t="s">
        <v>293</v>
      </c>
      <c r="G10" s="42" t="s">
        <v>941</v>
      </c>
      <c r="H10" s="53" t="s">
        <v>948</v>
      </c>
      <c r="I10" s="53" t="s">
        <v>971</v>
      </c>
    </row>
    <row r="11" spans="1:9" ht="230.4" x14ac:dyDescent="0.3">
      <c r="A11" s="33" t="s">
        <v>987</v>
      </c>
      <c r="B11" s="42" t="s">
        <v>232</v>
      </c>
      <c r="C11" s="42" t="s">
        <v>287</v>
      </c>
      <c r="D11" s="42" t="s">
        <v>297</v>
      </c>
      <c r="E11" s="42" t="s">
        <v>298</v>
      </c>
      <c r="F11" s="42" t="s">
        <v>299</v>
      </c>
      <c r="G11" s="42" t="s">
        <v>941</v>
      </c>
      <c r="H11" s="42" t="s">
        <v>18</v>
      </c>
      <c r="I11" s="53" t="s">
        <v>971</v>
      </c>
    </row>
    <row r="12" spans="1:9" ht="187.2" x14ac:dyDescent="0.3">
      <c r="A12" s="33" t="s">
        <v>988</v>
      </c>
      <c r="B12" s="42" t="s">
        <v>232</v>
      </c>
      <c r="C12" s="42" t="s">
        <v>287</v>
      </c>
      <c r="D12" s="42" t="s">
        <v>300</v>
      </c>
      <c r="E12" s="42" t="s">
        <v>301</v>
      </c>
      <c r="F12" s="42" t="s">
        <v>302</v>
      </c>
      <c r="G12" s="42" t="s">
        <v>941</v>
      </c>
      <c r="H12" s="42" t="s">
        <v>18</v>
      </c>
      <c r="I12" s="53" t="s">
        <v>971</v>
      </c>
    </row>
    <row r="13" spans="1:9" ht="187.2" x14ac:dyDescent="0.3">
      <c r="A13" s="33" t="s">
        <v>989</v>
      </c>
      <c r="B13" s="42" t="s">
        <v>233</v>
      </c>
      <c r="C13" s="42" t="s">
        <v>303</v>
      </c>
      <c r="D13" s="52" t="s">
        <v>274</v>
      </c>
      <c r="E13" s="42" t="s">
        <v>304</v>
      </c>
      <c r="F13" s="42" t="s">
        <v>305</v>
      </c>
      <c r="G13" s="42" t="s">
        <v>941</v>
      </c>
      <c r="H13" s="42" t="s">
        <v>18</v>
      </c>
      <c r="I13" s="53" t="s">
        <v>971</v>
      </c>
    </row>
    <row r="14" spans="1:9" ht="172.8" x14ac:dyDescent="0.3">
      <c r="A14" s="33" t="s">
        <v>990</v>
      </c>
      <c r="B14" s="42" t="s">
        <v>233</v>
      </c>
      <c r="C14" s="42" t="s">
        <v>303</v>
      </c>
      <c r="D14" s="52" t="s">
        <v>276</v>
      </c>
      <c r="E14" s="42" t="s">
        <v>306</v>
      </c>
      <c r="F14" s="42" t="s">
        <v>307</v>
      </c>
      <c r="G14" s="42" t="s">
        <v>941</v>
      </c>
      <c r="H14" s="42" t="s">
        <v>18</v>
      </c>
      <c r="I14" s="53" t="s">
        <v>971</v>
      </c>
    </row>
    <row r="15" spans="1:9" ht="172.8" x14ac:dyDescent="0.3">
      <c r="A15" s="33" t="s">
        <v>991</v>
      </c>
      <c r="B15" s="42" t="s">
        <v>233</v>
      </c>
      <c r="C15" s="42" t="s">
        <v>303</v>
      </c>
      <c r="D15" s="52" t="s">
        <v>278</v>
      </c>
      <c r="E15" s="42" t="s">
        <v>308</v>
      </c>
      <c r="F15" s="42" t="s">
        <v>309</v>
      </c>
      <c r="G15" s="42" t="s">
        <v>941</v>
      </c>
      <c r="H15" s="53" t="s">
        <v>948</v>
      </c>
      <c r="I15" s="53" t="s">
        <v>971</v>
      </c>
    </row>
    <row r="16" spans="1:9" ht="129.6" x14ac:dyDescent="0.3">
      <c r="A16" s="33" t="s">
        <v>992</v>
      </c>
      <c r="B16" s="42" t="s">
        <v>233</v>
      </c>
      <c r="C16" s="42" t="s">
        <v>303</v>
      </c>
      <c r="D16" s="42" t="s">
        <v>294</v>
      </c>
      <c r="E16" s="42" t="s">
        <v>310</v>
      </c>
      <c r="F16" s="42" t="s">
        <v>311</v>
      </c>
      <c r="G16" s="42" t="s">
        <v>941</v>
      </c>
      <c r="H16" s="42" t="s">
        <v>18</v>
      </c>
      <c r="I16" s="53" t="s">
        <v>971</v>
      </c>
    </row>
    <row r="17" spans="1:9" ht="100.8" x14ac:dyDescent="0.3">
      <c r="A17" s="33" t="s">
        <v>993</v>
      </c>
      <c r="B17" s="42" t="s">
        <v>233</v>
      </c>
      <c r="C17" s="42" t="s">
        <v>303</v>
      </c>
      <c r="D17" s="42" t="s">
        <v>297</v>
      </c>
      <c r="E17" s="53" t="s">
        <v>312</v>
      </c>
      <c r="F17" s="42" t="s">
        <v>313</v>
      </c>
      <c r="G17" s="42" t="s">
        <v>941</v>
      </c>
      <c r="H17" s="42" t="s">
        <v>18</v>
      </c>
      <c r="I17" s="53" t="s">
        <v>971</v>
      </c>
    </row>
    <row r="18" spans="1:9" ht="129.6" x14ac:dyDescent="0.3">
      <c r="A18" s="33" t="s">
        <v>994</v>
      </c>
      <c r="B18" s="42" t="s">
        <v>233</v>
      </c>
      <c r="C18" s="42" t="s">
        <v>303</v>
      </c>
      <c r="D18" s="42" t="s">
        <v>300</v>
      </c>
      <c r="E18" s="42" t="s">
        <v>314</v>
      </c>
      <c r="F18" s="53" t="s">
        <v>315</v>
      </c>
      <c r="G18" s="42" t="s">
        <v>941</v>
      </c>
      <c r="H18" s="53" t="s">
        <v>950</v>
      </c>
      <c r="I18" s="53" t="s">
        <v>971</v>
      </c>
    </row>
    <row r="19" spans="1:9" ht="158.4" x14ac:dyDescent="0.3">
      <c r="A19" s="33" t="s">
        <v>995</v>
      </c>
      <c r="B19" s="42" t="s">
        <v>234</v>
      </c>
      <c r="C19" s="42" t="s">
        <v>316</v>
      </c>
      <c r="D19" s="52" t="s">
        <v>274</v>
      </c>
      <c r="E19" s="42" t="s">
        <v>317</v>
      </c>
      <c r="F19" s="42" t="s">
        <v>318</v>
      </c>
      <c r="G19" s="42" t="s">
        <v>941</v>
      </c>
      <c r="H19" s="42" t="s">
        <v>18</v>
      </c>
      <c r="I19" s="53" t="s">
        <v>971</v>
      </c>
    </row>
    <row r="20" spans="1:9" ht="100.8" x14ac:dyDescent="0.3">
      <c r="A20" s="33" t="s">
        <v>996</v>
      </c>
      <c r="B20" s="42" t="s">
        <v>234</v>
      </c>
      <c r="C20" s="42" t="s">
        <v>316</v>
      </c>
      <c r="D20" s="52" t="s">
        <v>276</v>
      </c>
      <c r="E20" s="53" t="s">
        <v>319</v>
      </c>
      <c r="F20" s="42" t="s">
        <v>320</v>
      </c>
      <c r="G20" s="42" t="s">
        <v>941</v>
      </c>
      <c r="H20" s="53" t="s">
        <v>951</v>
      </c>
      <c r="I20" s="53" t="s">
        <v>971</v>
      </c>
    </row>
    <row r="21" spans="1:9" ht="100.8" x14ac:dyDescent="0.3">
      <c r="A21" s="33" t="s">
        <v>997</v>
      </c>
      <c r="B21" s="42" t="s">
        <v>234</v>
      </c>
      <c r="C21" s="42" t="s">
        <v>316</v>
      </c>
      <c r="D21" s="52" t="s">
        <v>278</v>
      </c>
      <c r="E21" s="53" t="s">
        <v>321</v>
      </c>
      <c r="F21" s="42" t="s">
        <v>322</v>
      </c>
      <c r="G21" s="42" t="s">
        <v>941</v>
      </c>
      <c r="H21" s="53" t="s">
        <v>951</v>
      </c>
      <c r="I21" s="53" t="s">
        <v>971</v>
      </c>
    </row>
    <row r="22" spans="1:9" ht="302.39999999999998" x14ac:dyDescent="0.3">
      <c r="A22" s="33" t="s">
        <v>998</v>
      </c>
      <c r="B22" s="42" t="s">
        <v>234</v>
      </c>
      <c r="C22" s="42" t="s">
        <v>316</v>
      </c>
      <c r="D22" s="42" t="s">
        <v>294</v>
      </c>
      <c r="E22" s="53" t="s">
        <v>323</v>
      </c>
      <c r="F22" s="42" t="s">
        <v>324</v>
      </c>
      <c r="G22" s="42" t="s">
        <v>941</v>
      </c>
      <c r="H22" s="53" t="s">
        <v>951</v>
      </c>
      <c r="I22" s="53" t="s">
        <v>971</v>
      </c>
    </row>
    <row r="23" spans="1:9" ht="216" x14ac:dyDescent="0.3">
      <c r="A23" s="33" t="s">
        <v>999</v>
      </c>
      <c r="B23" s="43" t="s">
        <v>234</v>
      </c>
      <c r="C23" s="43" t="s">
        <v>316</v>
      </c>
      <c r="D23" s="43" t="s">
        <v>297</v>
      </c>
      <c r="E23" s="54" t="s">
        <v>325</v>
      </c>
      <c r="F23" s="43" t="s">
        <v>326</v>
      </c>
      <c r="G23" s="43" t="s">
        <v>941</v>
      </c>
      <c r="H23" s="54" t="s">
        <v>952</v>
      </c>
      <c r="I23" s="54" t="s">
        <v>971</v>
      </c>
    </row>
    <row r="24" spans="1:9" ht="230.4" x14ac:dyDescent="0.3">
      <c r="A24" s="33" t="s">
        <v>1000</v>
      </c>
      <c r="B24" s="42" t="s">
        <v>234</v>
      </c>
      <c r="C24" s="42" t="s">
        <v>316</v>
      </c>
      <c r="D24" s="42" t="s">
        <v>300</v>
      </c>
      <c r="E24" s="42" t="s">
        <v>327</v>
      </c>
      <c r="F24" s="42" t="s">
        <v>328</v>
      </c>
      <c r="G24" s="42" t="s">
        <v>941</v>
      </c>
      <c r="H24" s="42" t="s">
        <v>18</v>
      </c>
      <c r="I24" s="53" t="s">
        <v>971</v>
      </c>
    </row>
    <row r="25" spans="1:9" ht="409.6" x14ac:dyDescent="0.3">
      <c r="A25" s="33" t="s">
        <v>1001</v>
      </c>
      <c r="B25" s="2" t="s">
        <v>235</v>
      </c>
      <c r="C25" s="2" t="s">
        <v>329</v>
      </c>
      <c r="D25" s="52" t="s">
        <v>274</v>
      </c>
      <c r="E25" s="2" t="s">
        <v>330</v>
      </c>
      <c r="F25" s="55" t="s">
        <v>331</v>
      </c>
      <c r="G25" s="2" t="s">
        <v>941</v>
      </c>
      <c r="H25" s="53" t="s">
        <v>950</v>
      </c>
      <c r="I25" s="53" t="s">
        <v>971</v>
      </c>
    </row>
    <row r="26" spans="1:9" ht="388.8" x14ac:dyDescent="0.3">
      <c r="A26" s="33" t="s">
        <v>1002</v>
      </c>
      <c r="B26" s="2" t="s">
        <v>235</v>
      </c>
      <c r="C26" s="2" t="s">
        <v>329</v>
      </c>
      <c r="D26" s="52" t="s">
        <v>276</v>
      </c>
      <c r="E26" s="2" t="s">
        <v>332</v>
      </c>
      <c r="F26" s="2" t="s">
        <v>333</v>
      </c>
      <c r="G26" s="2" t="s">
        <v>941</v>
      </c>
      <c r="H26" s="53" t="s">
        <v>953</v>
      </c>
      <c r="I26" s="42" t="s">
        <v>971</v>
      </c>
    </row>
    <row r="27" spans="1:9" ht="316.8" x14ac:dyDescent="0.3">
      <c r="A27" s="33" t="s">
        <v>1003</v>
      </c>
      <c r="B27" s="2" t="s">
        <v>236</v>
      </c>
      <c r="C27" s="2" t="s">
        <v>334</v>
      </c>
      <c r="D27" s="52" t="s">
        <v>274</v>
      </c>
      <c r="E27" s="14" t="s">
        <v>335</v>
      </c>
      <c r="F27" s="2" t="s">
        <v>336</v>
      </c>
      <c r="G27" s="2" t="s">
        <v>941</v>
      </c>
      <c r="H27" s="53" t="s">
        <v>18</v>
      </c>
      <c r="I27" s="42" t="s">
        <v>971</v>
      </c>
    </row>
    <row r="28" spans="1:9" ht="302.39999999999998" x14ac:dyDescent="0.3">
      <c r="A28" s="33" t="s">
        <v>1004</v>
      </c>
      <c r="B28" s="2" t="s">
        <v>236</v>
      </c>
      <c r="C28" s="2" t="s">
        <v>334</v>
      </c>
      <c r="D28" s="52" t="s">
        <v>276</v>
      </c>
      <c r="E28" s="14" t="s">
        <v>337</v>
      </c>
      <c r="F28" s="2" t="s">
        <v>338</v>
      </c>
      <c r="G28" s="2" t="s">
        <v>941</v>
      </c>
      <c r="H28" s="53" t="s">
        <v>18</v>
      </c>
      <c r="I28" s="42" t="s">
        <v>971</v>
      </c>
    </row>
    <row r="29" spans="1:9" ht="172.8" x14ac:dyDescent="0.3">
      <c r="A29" s="33" t="s">
        <v>1005</v>
      </c>
      <c r="B29" s="2" t="s">
        <v>236</v>
      </c>
      <c r="C29" s="2" t="s">
        <v>334</v>
      </c>
      <c r="D29" s="52" t="s">
        <v>278</v>
      </c>
      <c r="E29" s="14" t="s">
        <v>339</v>
      </c>
      <c r="F29" s="2" t="s">
        <v>340</v>
      </c>
      <c r="G29" s="2" t="s">
        <v>941</v>
      </c>
      <c r="H29" s="42" t="s">
        <v>948</v>
      </c>
      <c r="I29" s="53" t="s">
        <v>971</v>
      </c>
    </row>
    <row r="30" spans="1:9" ht="187.2" x14ac:dyDescent="0.3">
      <c r="A30" s="33" t="s">
        <v>1006</v>
      </c>
      <c r="B30" s="2" t="s">
        <v>236</v>
      </c>
      <c r="C30" s="2" t="s">
        <v>334</v>
      </c>
      <c r="D30" s="42" t="s">
        <v>294</v>
      </c>
      <c r="E30" s="14" t="s">
        <v>341</v>
      </c>
      <c r="F30" s="2" t="s">
        <v>342</v>
      </c>
      <c r="G30" s="2" t="s">
        <v>941</v>
      </c>
      <c r="H30" s="42" t="s">
        <v>948</v>
      </c>
      <c r="I30" s="53" t="s">
        <v>971</v>
      </c>
    </row>
    <row r="31" spans="1:9" ht="158.4" x14ac:dyDescent="0.3">
      <c r="A31" s="33" t="s">
        <v>1007</v>
      </c>
      <c r="B31" s="2" t="s">
        <v>236</v>
      </c>
      <c r="C31" s="2" t="s">
        <v>334</v>
      </c>
      <c r="D31" s="42" t="s">
        <v>297</v>
      </c>
      <c r="E31" s="14" t="s">
        <v>343</v>
      </c>
      <c r="F31" s="2" t="s">
        <v>344</v>
      </c>
      <c r="G31" s="2" t="s">
        <v>941</v>
      </c>
      <c r="H31" s="42" t="s">
        <v>948</v>
      </c>
      <c r="I31" s="53" t="s">
        <v>971</v>
      </c>
    </row>
    <row r="32" spans="1:9" ht="129.6" x14ac:dyDescent="0.3">
      <c r="A32" s="33" t="s">
        <v>1008</v>
      </c>
      <c r="B32" s="2" t="s">
        <v>236</v>
      </c>
      <c r="C32" s="2" t="s">
        <v>334</v>
      </c>
      <c r="D32" s="42" t="s">
        <v>300</v>
      </c>
      <c r="E32" s="14" t="s">
        <v>345</v>
      </c>
      <c r="F32" s="14" t="s">
        <v>346</v>
      </c>
      <c r="G32" s="2" t="s">
        <v>941</v>
      </c>
      <c r="H32" s="42" t="s">
        <v>948</v>
      </c>
      <c r="I32" s="53" t="s">
        <v>971</v>
      </c>
    </row>
    <row r="33" spans="1:9" ht="172.8" x14ac:dyDescent="0.3">
      <c r="A33" s="33" t="s">
        <v>1009</v>
      </c>
      <c r="B33" s="2" t="s">
        <v>236</v>
      </c>
      <c r="C33" s="2" t="s">
        <v>334</v>
      </c>
      <c r="D33" s="2" t="s">
        <v>347</v>
      </c>
      <c r="E33" s="14" t="s">
        <v>348</v>
      </c>
      <c r="F33" s="14" t="s">
        <v>349</v>
      </c>
      <c r="G33" s="2" t="s">
        <v>941</v>
      </c>
      <c r="H33" s="53" t="s">
        <v>950</v>
      </c>
      <c r="I33" s="53" t="s">
        <v>971</v>
      </c>
    </row>
    <row r="34" spans="1:9" ht="144" x14ac:dyDescent="0.3">
      <c r="A34" s="33" t="s">
        <v>1010</v>
      </c>
      <c r="B34" s="2" t="s">
        <v>236</v>
      </c>
      <c r="C34" s="2" t="s">
        <v>334</v>
      </c>
      <c r="D34" s="2" t="s">
        <v>350</v>
      </c>
      <c r="E34" s="14" t="s">
        <v>351</v>
      </c>
      <c r="F34" s="14" t="s">
        <v>352</v>
      </c>
      <c r="G34" s="2" t="s">
        <v>941</v>
      </c>
      <c r="H34" s="53" t="s">
        <v>950</v>
      </c>
      <c r="I34" s="53" t="s">
        <v>971</v>
      </c>
    </row>
    <row r="35" spans="1:9" ht="409.6" x14ac:dyDescent="0.3">
      <c r="A35" s="33" t="s">
        <v>1011</v>
      </c>
      <c r="B35" s="2" t="s">
        <v>237</v>
      </c>
      <c r="C35" s="2" t="s">
        <v>353</v>
      </c>
      <c r="D35" s="52" t="s">
        <v>274</v>
      </c>
      <c r="E35" s="14" t="s">
        <v>354</v>
      </c>
      <c r="F35" s="2" t="s">
        <v>355</v>
      </c>
      <c r="G35" s="2" t="s">
        <v>941</v>
      </c>
      <c r="H35" s="42" t="s">
        <v>948</v>
      </c>
      <c r="I35" s="53" t="s">
        <v>971</v>
      </c>
    </row>
    <row r="36" spans="1:9" ht="201.6" x14ac:dyDescent="0.3">
      <c r="A36" s="33" t="s">
        <v>1012</v>
      </c>
      <c r="B36" s="2" t="s">
        <v>237</v>
      </c>
      <c r="C36" s="2" t="s">
        <v>353</v>
      </c>
      <c r="D36" s="52" t="s">
        <v>276</v>
      </c>
      <c r="E36" s="14" t="s">
        <v>356</v>
      </c>
      <c r="F36" s="2" t="s">
        <v>357</v>
      </c>
      <c r="G36" s="2" t="s">
        <v>941</v>
      </c>
      <c r="H36" s="42" t="s">
        <v>948</v>
      </c>
      <c r="I36" s="53" t="s">
        <v>971</v>
      </c>
    </row>
    <row r="37" spans="1:9" ht="230.4" x14ac:dyDescent="0.3">
      <c r="A37" s="33" t="s">
        <v>1013</v>
      </c>
      <c r="B37" s="2" t="s">
        <v>237</v>
      </c>
      <c r="C37" s="2" t="s">
        <v>353</v>
      </c>
      <c r="D37" s="52" t="s">
        <v>278</v>
      </c>
      <c r="E37" s="14" t="s">
        <v>358</v>
      </c>
      <c r="F37" s="2" t="s">
        <v>359</v>
      </c>
      <c r="G37" s="2" t="s">
        <v>941</v>
      </c>
      <c r="H37" s="42" t="s">
        <v>948</v>
      </c>
      <c r="I37" s="53" t="s">
        <v>971</v>
      </c>
    </row>
    <row r="38" spans="1:9" ht="158.4" x14ac:dyDescent="0.3">
      <c r="A38" s="33" t="s">
        <v>1014</v>
      </c>
      <c r="B38" s="2" t="s">
        <v>237</v>
      </c>
      <c r="C38" s="2" t="s">
        <v>353</v>
      </c>
      <c r="D38" s="42" t="s">
        <v>294</v>
      </c>
      <c r="E38" s="14" t="s">
        <v>360</v>
      </c>
      <c r="F38" s="2" t="s">
        <v>361</v>
      </c>
      <c r="G38" s="2" t="s">
        <v>941</v>
      </c>
      <c r="H38" s="42" t="s">
        <v>948</v>
      </c>
      <c r="I38" s="53" t="s">
        <v>971</v>
      </c>
    </row>
    <row r="39" spans="1:9" ht="129.6" x14ac:dyDescent="0.3">
      <c r="A39" s="33" t="s">
        <v>1015</v>
      </c>
      <c r="B39" s="2" t="s">
        <v>237</v>
      </c>
      <c r="C39" s="2" t="s">
        <v>353</v>
      </c>
      <c r="D39" s="42" t="s">
        <v>297</v>
      </c>
      <c r="E39" s="14" t="s">
        <v>362</v>
      </c>
      <c r="F39" s="2" t="s">
        <v>363</v>
      </c>
      <c r="G39" s="2" t="s">
        <v>941</v>
      </c>
      <c r="H39" s="42" t="s">
        <v>948</v>
      </c>
      <c r="I39" s="53" t="s">
        <v>971</v>
      </c>
    </row>
    <row r="40" spans="1:9" ht="187.2" x14ac:dyDescent="0.3">
      <c r="A40" s="33" t="s">
        <v>1016</v>
      </c>
      <c r="B40" s="2" t="s">
        <v>237</v>
      </c>
      <c r="C40" s="2" t="s">
        <v>353</v>
      </c>
      <c r="D40" s="42" t="s">
        <v>300</v>
      </c>
      <c r="E40" s="14" t="s">
        <v>364</v>
      </c>
      <c r="F40" s="14" t="s">
        <v>365</v>
      </c>
      <c r="G40" s="2" t="s">
        <v>941</v>
      </c>
      <c r="H40" s="42" t="s">
        <v>948</v>
      </c>
      <c r="I40" s="53" t="s">
        <v>971</v>
      </c>
    </row>
    <row r="41" spans="1:9" ht="129.6" x14ac:dyDescent="0.3">
      <c r="A41" s="33" t="s">
        <v>1017</v>
      </c>
      <c r="B41" s="2" t="s">
        <v>237</v>
      </c>
      <c r="C41" s="2" t="s">
        <v>353</v>
      </c>
      <c r="D41" s="2" t="s">
        <v>347</v>
      </c>
      <c r="E41" s="14" t="s">
        <v>366</v>
      </c>
      <c r="F41" s="14" t="s">
        <v>367</v>
      </c>
      <c r="G41" s="2" t="s">
        <v>941</v>
      </c>
      <c r="H41" s="42" t="s">
        <v>948</v>
      </c>
      <c r="I41" s="53" t="s">
        <v>971</v>
      </c>
    </row>
    <row r="42" spans="1:9" ht="144" x14ac:dyDescent="0.3">
      <c r="A42" s="33" t="s">
        <v>1018</v>
      </c>
      <c r="B42" s="2" t="s">
        <v>237</v>
      </c>
      <c r="C42" s="2" t="s">
        <v>353</v>
      </c>
      <c r="D42" s="2" t="s">
        <v>350</v>
      </c>
      <c r="E42" s="14" t="s">
        <v>368</v>
      </c>
      <c r="F42" s="14" t="s">
        <v>369</v>
      </c>
      <c r="G42" s="2" t="s">
        <v>941</v>
      </c>
      <c r="H42" s="42" t="s">
        <v>948</v>
      </c>
      <c r="I42" s="53" t="s">
        <v>971</v>
      </c>
    </row>
    <row r="43" spans="1:9" ht="158.4" x14ac:dyDescent="0.3">
      <c r="A43" s="33" t="s">
        <v>1019</v>
      </c>
      <c r="B43" s="2" t="s">
        <v>237</v>
      </c>
      <c r="C43" s="2" t="s">
        <v>353</v>
      </c>
      <c r="D43" s="2" t="s">
        <v>370</v>
      </c>
      <c r="E43" s="14" t="s">
        <v>371</v>
      </c>
      <c r="F43" s="14" t="s">
        <v>372</v>
      </c>
      <c r="G43" s="2" t="s">
        <v>941</v>
      </c>
      <c r="H43" s="53" t="s">
        <v>950</v>
      </c>
      <c r="I43" s="53" t="s">
        <v>971</v>
      </c>
    </row>
    <row r="44" spans="1:9" ht="244.8" x14ac:dyDescent="0.3">
      <c r="A44" s="33" t="s">
        <v>1020</v>
      </c>
      <c r="B44" s="2" t="s">
        <v>239</v>
      </c>
      <c r="C44" s="2" t="s">
        <v>386</v>
      </c>
      <c r="D44" s="52" t="s">
        <v>274</v>
      </c>
      <c r="E44" s="14" t="s">
        <v>387</v>
      </c>
      <c r="F44" s="14" t="s">
        <v>388</v>
      </c>
      <c r="G44" s="2" t="s">
        <v>941</v>
      </c>
      <c r="H44" s="53" t="s">
        <v>948</v>
      </c>
      <c r="I44" s="42" t="s">
        <v>971</v>
      </c>
    </row>
    <row r="45" spans="1:9" ht="129.6" x14ac:dyDescent="0.3">
      <c r="A45" s="33" t="s">
        <v>1021</v>
      </c>
      <c r="B45" s="2" t="s">
        <v>239</v>
      </c>
      <c r="C45" s="2" t="s">
        <v>386</v>
      </c>
      <c r="D45" s="52" t="s">
        <v>276</v>
      </c>
      <c r="E45" s="14" t="s">
        <v>389</v>
      </c>
      <c r="F45" s="14" t="s">
        <v>390</v>
      </c>
      <c r="G45" s="2" t="s">
        <v>941</v>
      </c>
      <c r="H45" s="53" t="s">
        <v>948</v>
      </c>
      <c r="I45" s="42" t="s">
        <v>971</v>
      </c>
    </row>
    <row r="46" spans="1:9" ht="230.4" x14ac:dyDescent="0.3">
      <c r="A46" s="33" t="s">
        <v>1022</v>
      </c>
      <c r="B46" s="2" t="s">
        <v>239</v>
      </c>
      <c r="C46" s="2" t="s">
        <v>386</v>
      </c>
      <c r="D46" s="42" t="s">
        <v>297</v>
      </c>
      <c r="E46" s="14" t="s">
        <v>395</v>
      </c>
      <c r="F46" s="14" t="s">
        <v>396</v>
      </c>
      <c r="G46" s="2" t="s">
        <v>941</v>
      </c>
      <c r="H46" s="53" t="s">
        <v>948</v>
      </c>
      <c r="I46" s="42" t="s">
        <v>971</v>
      </c>
    </row>
    <row r="47" spans="1:9" ht="345.6" x14ac:dyDescent="0.3">
      <c r="A47" s="33" t="s">
        <v>1023</v>
      </c>
      <c r="B47" s="2" t="s">
        <v>239</v>
      </c>
      <c r="C47" s="2" t="s">
        <v>386</v>
      </c>
      <c r="D47" s="42" t="s">
        <v>300</v>
      </c>
      <c r="E47" s="14" t="s">
        <v>397</v>
      </c>
      <c r="F47" s="14" t="s">
        <v>398</v>
      </c>
      <c r="G47" s="2" t="s">
        <v>941</v>
      </c>
      <c r="H47" s="53" t="s">
        <v>948</v>
      </c>
      <c r="I47" s="42" t="s">
        <v>971</v>
      </c>
    </row>
    <row r="48" spans="1:9" ht="409.6" x14ac:dyDescent="0.3">
      <c r="A48" s="33" t="s">
        <v>1024</v>
      </c>
      <c r="B48" s="2" t="s">
        <v>239</v>
      </c>
      <c r="C48" s="2" t="s">
        <v>386</v>
      </c>
      <c r="D48" s="2" t="s">
        <v>347</v>
      </c>
      <c r="E48" s="14" t="s">
        <v>399</v>
      </c>
      <c r="F48" s="14" t="s">
        <v>400</v>
      </c>
      <c r="G48" s="2" t="s">
        <v>941</v>
      </c>
      <c r="H48" s="53" t="s">
        <v>950</v>
      </c>
      <c r="I48" s="53" t="s">
        <v>971</v>
      </c>
    </row>
    <row r="49" spans="1:9" ht="144" x14ac:dyDescent="0.3">
      <c r="A49" s="33" t="s">
        <v>1025</v>
      </c>
      <c r="B49" s="2" t="s">
        <v>239</v>
      </c>
      <c r="C49" s="2" t="s">
        <v>386</v>
      </c>
      <c r="D49" s="2" t="s">
        <v>350</v>
      </c>
      <c r="E49" s="14" t="s">
        <v>401</v>
      </c>
      <c r="F49" s="14" t="s">
        <v>402</v>
      </c>
      <c r="G49" s="2" t="s">
        <v>941</v>
      </c>
      <c r="H49" s="53" t="s">
        <v>948</v>
      </c>
      <c r="I49" s="53" t="s">
        <v>971</v>
      </c>
    </row>
    <row r="50" spans="1:9" ht="172.8" x14ac:dyDescent="0.3">
      <c r="A50" s="33" t="s">
        <v>1026</v>
      </c>
      <c r="B50" s="2" t="s">
        <v>239</v>
      </c>
      <c r="C50" s="2" t="s">
        <v>386</v>
      </c>
      <c r="D50" s="2" t="s">
        <v>370</v>
      </c>
      <c r="E50" s="14" t="s">
        <v>403</v>
      </c>
      <c r="F50" s="14" t="s">
        <v>404</v>
      </c>
      <c r="G50" s="2" t="s">
        <v>941</v>
      </c>
      <c r="H50" s="53" t="s">
        <v>948</v>
      </c>
      <c r="I50" s="53" t="s">
        <v>971</v>
      </c>
    </row>
    <row r="51" spans="1:9" ht="288" x14ac:dyDescent="0.3">
      <c r="A51" s="33" t="s">
        <v>1027</v>
      </c>
      <c r="B51" s="2" t="s">
        <v>241</v>
      </c>
      <c r="C51" s="2" t="s">
        <v>420</v>
      </c>
      <c r="D51" s="52" t="s">
        <v>274</v>
      </c>
      <c r="E51" s="14" t="s">
        <v>421</v>
      </c>
      <c r="F51" s="2" t="s">
        <v>422</v>
      </c>
      <c r="G51" s="2" t="s">
        <v>941</v>
      </c>
      <c r="H51" s="42" t="s">
        <v>950</v>
      </c>
      <c r="I51" s="53" t="s">
        <v>974</v>
      </c>
    </row>
    <row r="52" spans="1:9" ht="172.8" x14ac:dyDescent="0.3">
      <c r="A52" s="33" t="s">
        <v>1028</v>
      </c>
      <c r="B52" s="2" t="s">
        <v>241</v>
      </c>
      <c r="C52" s="2" t="s">
        <v>420</v>
      </c>
      <c r="D52" s="52" t="s">
        <v>276</v>
      </c>
      <c r="E52" s="14" t="s">
        <v>423</v>
      </c>
      <c r="F52" s="14" t="s">
        <v>424</v>
      </c>
      <c r="G52" s="2" t="s">
        <v>941</v>
      </c>
      <c r="H52" s="42" t="s">
        <v>950</v>
      </c>
      <c r="I52" s="53" t="s">
        <v>974</v>
      </c>
    </row>
    <row r="53" spans="1:9" ht="374.4" x14ac:dyDescent="0.3">
      <c r="A53" s="33" t="s">
        <v>1029</v>
      </c>
      <c r="B53" s="2" t="s">
        <v>241</v>
      </c>
      <c r="C53" s="2" t="s">
        <v>420</v>
      </c>
      <c r="D53" s="52" t="s">
        <v>278</v>
      </c>
      <c r="E53" s="14" t="s">
        <v>425</v>
      </c>
      <c r="F53" s="14" t="s">
        <v>426</v>
      </c>
      <c r="G53" s="2" t="s">
        <v>941</v>
      </c>
      <c r="H53" s="42" t="s">
        <v>950</v>
      </c>
      <c r="I53" s="53" t="s">
        <v>974</v>
      </c>
    </row>
    <row r="54" spans="1:9" ht="172.8" x14ac:dyDescent="0.3">
      <c r="A54" s="33" t="s">
        <v>1030</v>
      </c>
      <c r="B54" s="2" t="s">
        <v>241</v>
      </c>
      <c r="C54" s="2" t="s">
        <v>420</v>
      </c>
      <c r="D54" s="42" t="s">
        <v>294</v>
      </c>
      <c r="E54" s="14" t="s">
        <v>427</v>
      </c>
      <c r="F54" s="2" t="s">
        <v>428</v>
      </c>
      <c r="G54" s="2" t="s">
        <v>941</v>
      </c>
      <c r="H54" s="42" t="s">
        <v>950</v>
      </c>
      <c r="I54" s="53" t="s">
        <v>974</v>
      </c>
    </row>
    <row r="55" spans="1:9" ht="187.2" x14ac:dyDescent="0.3">
      <c r="A55" s="33" t="s">
        <v>1031</v>
      </c>
      <c r="B55" s="2" t="s">
        <v>241</v>
      </c>
      <c r="C55" s="2" t="s">
        <v>420</v>
      </c>
      <c r="D55" s="42" t="s">
        <v>297</v>
      </c>
      <c r="E55" s="14" t="s">
        <v>341</v>
      </c>
      <c r="F55" s="2" t="s">
        <v>429</v>
      </c>
      <c r="G55" s="2" t="s">
        <v>941</v>
      </c>
      <c r="H55" s="42" t="s">
        <v>950</v>
      </c>
      <c r="I55" s="53" t="s">
        <v>974</v>
      </c>
    </row>
    <row r="56" spans="1:9" ht="216" x14ac:dyDescent="0.3">
      <c r="A56" s="33" t="s">
        <v>1032</v>
      </c>
      <c r="B56" s="2" t="s">
        <v>241</v>
      </c>
      <c r="C56" s="2" t="s">
        <v>420</v>
      </c>
      <c r="D56" s="42" t="s">
        <v>300</v>
      </c>
      <c r="E56" s="14" t="s">
        <v>343</v>
      </c>
      <c r="F56" s="2" t="s">
        <v>430</v>
      </c>
      <c r="G56" s="2" t="s">
        <v>941</v>
      </c>
      <c r="H56" s="42" t="s">
        <v>950</v>
      </c>
      <c r="I56" s="53" t="s">
        <v>974</v>
      </c>
    </row>
    <row r="57" spans="1:9" ht="129.6" x14ac:dyDescent="0.3">
      <c r="A57" s="33" t="s">
        <v>1033</v>
      </c>
      <c r="B57" s="2" t="s">
        <v>241</v>
      </c>
      <c r="C57" s="2" t="s">
        <v>420</v>
      </c>
      <c r="D57" s="2" t="s">
        <v>347</v>
      </c>
      <c r="E57" s="14" t="s">
        <v>345</v>
      </c>
      <c r="F57" s="14" t="s">
        <v>346</v>
      </c>
      <c r="G57" s="2" t="s">
        <v>941</v>
      </c>
      <c r="H57" s="42" t="s">
        <v>950</v>
      </c>
      <c r="I57" s="53" t="s">
        <v>974</v>
      </c>
    </row>
    <row r="58" spans="1:9" ht="172.8" x14ac:dyDescent="0.3">
      <c r="A58" s="33" t="s">
        <v>1034</v>
      </c>
      <c r="B58" s="2" t="s">
        <v>241</v>
      </c>
      <c r="C58" s="2" t="s">
        <v>420</v>
      </c>
      <c r="D58" s="2" t="s">
        <v>350</v>
      </c>
      <c r="E58" s="14" t="s">
        <v>348</v>
      </c>
      <c r="F58" s="14" t="s">
        <v>349</v>
      </c>
      <c r="G58" s="2" t="s">
        <v>941</v>
      </c>
      <c r="H58" s="42" t="s">
        <v>950</v>
      </c>
      <c r="I58" s="53" t="s">
        <v>974</v>
      </c>
    </row>
    <row r="59" spans="1:9" ht="144" x14ac:dyDescent="0.3">
      <c r="A59" s="33" t="s">
        <v>1035</v>
      </c>
      <c r="B59" s="2" t="s">
        <v>241</v>
      </c>
      <c r="C59" s="2" t="s">
        <v>420</v>
      </c>
      <c r="D59" s="2" t="s">
        <v>370</v>
      </c>
      <c r="E59" s="14" t="s">
        <v>351</v>
      </c>
      <c r="F59" s="14" t="s">
        <v>352</v>
      </c>
      <c r="G59" s="2" t="s">
        <v>941</v>
      </c>
      <c r="H59" s="42" t="s">
        <v>950</v>
      </c>
      <c r="I59" s="53" t="s">
        <v>974</v>
      </c>
    </row>
    <row r="60" spans="1:9" ht="172.8" x14ac:dyDescent="0.3">
      <c r="A60" s="33" t="s">
        <v>1036</v>
      </c>
      <c r="B60" s="2" t="s">
        <v>241</v>
      </c>
      <c r="C60" s="2" t="s">
        <v>420</v>
      </c>
      <c r="D60" s="2" t="s">
        <v>405</v>
      </c>
      <c r="E60" s="14" t="s">
        <v>431</v>
      </c>
      <c r="F60" s="2" t="s">
        <v>432</v>
      </c>
      <c r="G60" s="2" t="s">
        <v>941</v>
      </c>
      <c r="H60" s="42" t="s">
        <v>950</v>
      </c>
      <c r="I60" s="53" t="s">
        <v>974</v>
      </c>
    </row>
    <row r="61" spans="1:9" ht="144" x14ac:dyDescent="0.3">
      <c r="A61" s="33" t="s">
        <v>1037</v>
      </c>
      <c r="B61" s="2" t="s">
        <v>241</v>
      </c>
      <c r="C61" s="2" t="s">
        <v>420</v>
      </c>
      <c r="D61" s="2" t="s">
        <v>408</v>
      </c>
      <c r="E61" s="14" t="s">
        <v>433</v>
      </c>
      <c r="F61" s="14" t="s">
        <v>434</v>
      </c>
      <c r="G61" s="2" t="s">
        <v>941</v>
      </c>
      <c r="H61" s="42" t="s">
        <v>950</v>
      </c>
      <c r="I61" s="53" t="s">
        <v>974</v>
      </c>
    </row>
    <row r="62" spans="1:9" ht="158.4" x14ac:dyDescent="0.3">
      <c r="A62" s="33" t="s">
        <v>1038</v>
      </c>
      <c r="B62" s="2" t="s">
        <v>241</v>
      </c>
      <c r="C62" s="2" t="s">
        <v>420</v>
      </c>
      <c r="D62" s="2" t="s">
        <v>435</v>
      </c>
      <c r="E62" s="14" t="s">
        <v>436</v>
      </c>
      <c r="F62" s="14" t="s">
        <v>437</v>
      </c>
      <c r="G62" s="2" t="s">
        <v>941</v>
      </c>
      <c r="H62" s="42" t="s">
        <v>950</v>
      </c>
      <c r="I62" s="53" t="s">
        <v>974</v>
      </c>
    </row>
    <row r="63" spans="1:9" ht="144" x14ac:dyDescent="0.3">
      <c r="A63" s="33" t="s">
        <v>1039</v>
      </c>
      <c r="B63" s="2" t="s">
        <v>242</v>
      </c>
      <c r="C63" s="2" t="s">
        <v>438</v>
      </c>
      <c r="D63" s="52" t="s">
        <v>274</v>
      </c>
      <c r="E63" s="14" t="s">
        <v>439</v>
      </c>
      <c r="F63" s="14" t="s">
        <v>440</v>
      </c>
      <c r="G63" s="2" t="s">
        <v>941</v>
      </c>
      <c r="H63" s="42" t="s">
        <v>950</v>
      </c>
      <c r="I63" s="53" t="s">
        <v>974</v>
      </c>
    </row>
    <row r="64" spans="1:9" ht="403.2" x14ac:dyDescent="0.3">
      <c r="A64" s="33" t="s">
        <v>1040</v>
      </c>
      <c r="B64" s="2" t="s">
        <v>242</v>
      </c>
      <c r="C64" s="2" t="s">
        <v>438</v>
      </c>
      <c r="D64" s="52" t="s">
        <v>276</v>
      </c>
      <c r="E64" s="14" t="s">
        <v>441</v>
      </c>
      <c r="F64" s="2" t="s">
        <v>442</v>
      </c>
      <c r="G64" s="2" t="s">
        <v>941</v>
      </c>
      <c r="H64" s="42" t="s">
        <v>950</v>
      </c>
      <c r="I64" s="53" t="s">
        <v>974</v>
      </c>
    </row>
    <row r="65" spans="1:9" ht="316.8" x14ac:dyDescent="0.3">
      <c r="A65" s="33" t="s">
        <v>1041</v>
      </c>
      <c r="B65" s="2" t="s">
        <v>242</v>
      </c>
      <c r="C65" s="2" t="s">
        <v>438</v>
      </c>
      <c r="D65" s="52" t="s">
        <v>278</v>
      </c>
      <c r="E65" s="14" t="s">
        <v>443</v>
      </c>
      <c r="F65" s="2" t="s">
        <v>444</v>
      </c>
      <c r="G65" s="2" t="s">
        <v>941</v>
      </c>
      <c r="H65" s="42" t="s">
        <v>950</v>
      </c>
      <c r="I65" s="53" t="s">
        <v>974</v>
      </c>
    </row>
    <row r="66" spans="1:9" ht="244.8" x14ac:dyDescent="0.3">
      <c r="A66" s="33" t="s">
        <v>1042</v>
      </c>
      <c r="B66" s="2" t="s">
        <v>242</v>
      </c>
      <c r="C66" s="2" t="s">
        <v>438</v>
      </c>
      <c r="D66" s="42" t="s">
        <v>294</v>
      </c>
      <c r="E66" s="14" t="s">
        <v>445</v>
      </c>
      <c r="F66" s="2" t="s">
        <v>446</v>
      </c>
      <c r="G66" s="2" t="s">
        <v>941</v>
      </c>
      <c r="H66" s="42" t="s">
        <v>950</v>
      </c>
      <c r="I66" s="53" t="s">
        <v>974</v>
      </c>
    </row>
    <row r="67" spans="1:9" ht="172.8" x14ac:dyDescent="0.3">
      <c r="A67" s="33" t="s">
        <v>1043</v>
      </c>
      <c r="B67" s="2" t="s">
        <v>242</v>
      </c>
      <c r="C67" s="2" t="s">
        <v>438</v>
      </c>
      <c r="D67" s="42" t="s">
        <v>297</v>
      </c>
      <c r="E67" s="14" t="s">
        <v>447</v>
      </c>
      <c r="F67" s="2" t="s">
        <v>448</v>
      </c>
      <c r="G67" s="2" t="s">
        <v>941</v>
      </c>
      <c r="H67" s="42" t="s">
        <v>950</v>
      </c>
      <c r="I67" s="53" t="s">
        <v>974</v>
      </c>
    </row>
    <row r="68" spans="1:9" ht="158.4" x14ac:dyDescent="0.3">
      <c r="A68" s="33" t="s">
        <v>1044</v>
      </c>
      <c r="B68" s="2" t="s">
        <v>242</v>
      </c>
      <c r="C68" s="2" t="s">
        <v>438</v>
      </c>
      <c r="D68" s="42" t="s">
        <v>300</v>
      </c>
      <c r="E68" s="14" t="s">
        <v>449</v>
      </c>
      <c r="F68" s="2" t="s">
        <v>450</v>
      </c>
      <c r="G68" s="2" t="s">
        <v>941</v>
      </c>
      <c r="H68" s="42" t="s">
        <v>950</v>
      </c>
      <c r="I68" s="53" t="s">
        <v>974</v>
      </c>
    </row>
    <row r="69" spans="1:9" ht="172.8" x14ac:dyDescent="0.3">
      <c r="A69" s="33" t="s">
        <v>1045</v>
      </c>
      <c r="B69" s="2" t="s">
        <v>242</v>
      </c>
      <c r="C69" s="2" t="s">
        <v>438</v>
      </c>
      <c r="D69" s="2" t="s">
        <v>347</v>
      </c>
      <c r="E69" s="14" t="s">
        <v>364</v>
      </c>
      <c r="F69" s="14" t="s">
        <v>451</v>
      </c>
      <c r="G69" s="2" t="s">
        <v>941</v>
      </c>
      <c r="H69" s="42" t="s">
        <v>950</v>
      </c>
      <c r="I69" s="53" t="s">
        <v>974</v>
      </c>
    </row>
    <row r="70" spans="1:9" ht="129.6" x14ac:dyDescent="0.3">
      <c r="A70" s="33" t="s">
        <v>1046</v>
      </c>
      <c r="B70" s="2" t="s">
        <v>242</v>
      </c>
      <c r="C70" s="2" t="s">
        <v>438</v>
      </c>
      <c r="D70" s="2" t="s">
        <v>350</v>
      </c>
      <c r="E70" s="14" t="s">
        <v>366</v>
      </c>
      <c r="F70" s="14" t="s">
        <v>367</v>
      </c>
      <c r="G70" s="2" t="s">
        <v>941</v>
      </c>
      <c r="H70" s="42" t="s">
        <v>950</v>
      </c>
      <c r="I70" s="53" t="s">
        <v>974</v>
      </c>
    </row>
    <row r="71" spans="1:9" ht="244.8" x14ac:dyDescent="0.3">
      <c r="A71" s="33" t="s">
        <v>1047</v>
      </c>
      <c r="B71" s="2" t="s">
        <v>243</v>
      </c>
      <c r="C71" s="2" t="s">
        <v>452</v>
      </c>
      <c r="D71" s="52" t="s">
        <v>274</v>
      </c>
      <c r="E71" s="14" t="s">
        <v>387</v>
      </c>
      <c r="F71" s="14" t="s">
        <v>388</v>
      </c>
      <c r="G71" s="2" t="s">
        <v>941</v>
      </c>
      <c r="H71" s="42" t="s">
        <v>950</v>
      </c>
      <c r="I71" s="53" t="s">
        <v>974</v>
      </c>
    </row>
    <row r="72" spans="1:9" ht="129.6" x14ac:dyDescent="0.3">
      <c r="A72" s="33" t="s">
        <v>1048</v>
      </c>
      <c r="B72" s="2" t="s">
        <v>243</v>
      </c>
      <c r="C72" s="2" t="s">
        <v>452</v>
      </c>
      <c r="D72" s="52" t="s">
        <v>276</v>
      </c>
      <c r="E72" s="14" t="s">
        <v>389</v>
      </c>
      <c r="F72" s="14" t="s">
        <v>390</v>
      </c>
      <c r="G72" s="2" t="s">
        <v>941</v>
      </c>
      <c r="H72" s="42" t="s">
        <v>950</v>
      </c>
      <c r="I72" s="53" t="s">
        <v>974</v>
      </c>
    </row>
    <row r="73" spans="1:9" ht="230.4" x14ac:dyDescent="0.3">
      <c r="A73" s="33" t="s">
        <v>1049</v>
      </c>
      <c r="B73" s="2" t="s">
        <v>243</v>
      </c>
      <c r="C73" s="2" t="s">
        <v>452</v>
      </c>
      <c r="D73" s="42" t="s">
        <v>297</v>
      </c>
      <c r="E73" s="14" t="s">
        <v>395</v>
      </c>
      <c r="F73" s="14" t="s">
        <v>396</v>
      </c>
      <c r="G73" s="2" t="s">
        <v>941</v>
      </c>
      <c r="H73" s="42" t="s">
        <v>950</v>
      </c>
      <c r="I73" s="53" t="s">
        <v>974</v>
      </c>
    </row>
    <row r="74" spans="1:9" ht="345.6" x14ac:dyDescent="0.3">
      <c r="A74" s="33" t="s">
        <v>1050</v>
      </c>
      <c r="B74" s="2" t="s">
        <v>243</v>
      </c>
      <c r="C74" s="2" t="s">
        <v>452</v>
      </c>
      <c r="D74" s="42" t="s">
        <v>300</v>
      </c>
      <c r="E74" s="14" t="s">
        <v>397</v>
      </c>
      <c r="F74" s="14" t="s">
        <v>398</v>
      </c>
      <c r="G74" s="2" t="s">
        <v>941</v>
      </c>
      <c r="H74" s="42" t="s">
        <v>950</v>
      </c>
      <c r="I74" s="53" t="s">
        <v>974</v>
      </c>
    </row>
    <row r="75" spans="1:9" ht="409.6" x14ac:dyDescent="0.3">
      <c r="A75" s="33" t="s">
        <v>1051</v>
      </c>
      <c r="B75" s="2" t="s">
        <v>243</v>
      </c>
      <c r="C75" s="2" t="s">
        <v>452</v>
      </c>
      <c r="D75" s="2" t="s">
        <v>347</v>
      </c>
      <c r="E75" s="14" t="s">
        <v>399</v>
      </c>
      <c r="F75" s="14" t="s">
        <v>400</v>
      </c>
      <c r="G75" s="2" t="s">
        <v>941</v>
      </c>
      <c r="H75" s="42" t="s">
        <v>950</v>
      </c>
      <c r="I75" s="53" t="s">
        <v>974</v>
      </c>
    </row>
    <row r="76" spans="1:9" ht="144" x14ac:dyDescent="0.3">
      <c r="A76" s="33" t="s">
        <v>1052</v>
      </c>
      <c r="B76" s="2" t="s">
        <v>243</v>
      </c>
      <c r="C76" s="2" t="s">
        <v>452</v>
      </c>
      <c r="D76" s="2" t="s">
        <v>350</v>
      </c>
      <c r="E76" s="14" t="s">
        <v>401</v>
      </c>
      <c r="F76" s="14" t="s">
        <v>402</v>
      </c>
      <c r="G76" s="2" t="s">
        <v>941</v>
      </c>
      <c r="H76" s="42" t="s">
        <v>950</v>
      </c>
      <c r="I76" s="53" t="s">
        <v>974</v>
      </c>
    </row>
    <row r="77" spans="1:9" ht="172.8" x14ac:dyDescent="0.3">
      <c r="A77" s="33" t="s">
        <v>1053</v>
      </c>
      <c r="B77" s="2" t="s">
        <v>243</v>
      </c>
      <c r="C77" s="2" t="s">
        <v>452</v>
      </c>
      <c r="D77" s="2" t="s">
        <v>370</v>
      </c>
      <c r="E77" s="14" t="s">
        <v>403</v>
      </c>
      <c r="F77" s="14" t="s">
        <v>404</v>
      </c>
      <c r="G77" s="2" t="s">
        <v>941</v>
      </c>
      <c r="H77" s="42" t="s">
        <v>950</v>
      </c>
      <c r="I77" s="53" t="s">
        <v>974</v>
      </c>
    </row>
    <row r="78" spans="1:9" ht="144" x14ac:dyDescent="0.3">
      <c r="A78" s="33" t="s">
        <v>1054</v>
      </c>
      <c r="B78" s="2" t="s">
        <v>245</v>
      </c>
      <c r="C78" s="2" t="s">
        <v>454</v>
      </c>
      <c r="D78" s="52" t="s">
        <v>274</v>
      </c>
      <c r="E78" s="14" t="s">
        <v>455</v>
      </c>
      <c r="F78" s="2" t="s">
        <v>456</v>
      </c>
      <c r="G78" s="2" t="s">
        <v>943</v>
      </c>
      <c r="H78" s="42" t="s">
        <v>23</v>
      </c>
      <c r="I78" s="42" t="s">
        <v>971</v>
      </c>
    </row>
    <row r="79" spans="1:9" ht="302.39999999999998" x14ac:dyDescent="0.3">
      <c r="A79" s="33" t="s">
        <v>1055</v>
      </c>
      <c r="B79" s="2" t="s">
        <v>245</v>
      </c>
      <c r="C79" s="2" t="s">
        <v>454</v>
      </c>
      <c r="D79" s="52" t="s">
        <v>276</v>
      </c>
      <c r="E79" s="14" t="s">
        <v>457</v>
      </c>
      <c r="F79" s="14" t="s">
        <v>458</v>
      </c>
      <c r="G79" s="2" t="s">
        <v>943</v>
      </c>
      <c r="H79" s="42" t="s">
        <v>23</v>
      </c>
      <c r="I79" s="42" t="s">
        <v>971</v>
      </c>
    </row>
    <row r="80" spans="1:9" ht="172.8" x14ac:dyDescent="0.3">
      <c r="A80" s="33" t="s">
        <v>1056</v>
      </c>
      <c r="B80" s="2" t="s">
        <v>245</v>
      </c>
      <c r="C80" s="2" t="s">
        <v>454</v>
      </c>
      <c r="D80" s="52" t="s">
        <v>278</v>
      </c>
      <c r="E80" s="14" t="s">
        <v>459</v>
      </c>
      <c r="F80" s="2" t="s">
        <v>460</v>
      </c>
      <c r="G80" s="2" t="s">
        <v>943</v>
      </c>
      <c r="H80" s="42" t="s">
        <v>958</v>
      </c>
      <c r="I80" s="53" t="s">
        <v>974</v>
      </c>
    </row>
    <row r="81" spans="1:9" ht="201.6" x14ac:dyDescent="0.3">
      <c r="A81" s="33" t="s">
        <v>1057</v>
      </c>
      <c r="B81" s="2" t="s">
        <v>245</v>
      </c>
      <c r="C81" s="2" t="s">
        <v>454</v>
      </c>
      <c r="D81" s="42" t="s">
        <v>294</v>
      </c>
      <c r="E81" s="14" t="s">
        <v>461</v>
      </c>
      <c r="F81" s="14" t="s">
        <v>462</v>
      </c>
      <c r="G81" s="2" t="s">
        <v>943</v>
      </c>
      <c r="H81" s="42" t="s">
        <v>23</v>
      </c>
      <c r="I81" s="42" t="s">
        <v>971</v>
      </c>
    </row>
    <row r="82" spans="1:9" ht="187.2" x14ac:dyDescent="0.3">
      <c r="A82" s="33" t="s">
        <v>1058</v>
      </c>
      <c r="B82" s="2" t="s">
        <v>245</v>
      </c>
      <c r="C82" s="2" t="s">
        <v>454</v>
      </c>
      <c r="D82" s="42" t="s">
        <v>300</v>
      </c>
      <c r="E82" s="14" t="s">
        <v>341</v>
      </c>
      <c r="F82" s="2" t="s">
        <v>429</v>
      </c>
      <c r="G82" s="2" t="s">
        <v>943</v>
      </c>
      <c r="H82" s="42" t="s">
        <v>960</v>
      </c>
      <c r="I82" s="42" t="s">
        <v>974</v>
      </c>
    </row>
    <row r="83" spans="1:9" ht="409.6" x14ac:dyDescent="0.3">
      <c r="A83" s="33" t="s">
        <v>1059</v>
      </c>
      <c r="B83" s="2" t="s">
        <v>246</v>
      </c>
      <c r="C83" s="2" t="s">
        <v>475</v>
      </c>
      <c r="D83" s="52" t="s">
        <v>274</v>
      </c>
      <c r="E83" s="14" t="s">
        <v>476</v>
      </c>
      <c r="F83" s="2" t="s">
        <v>477</v>
      </c>
      <c r="G83" s="69" t="s">
        <v>943</v>
      </c>
      <c r="H83" s="42" t="s">
        <v>958</v>
      </c>
      <c r="I83" s="53" t="s">
        <v>974</v>
      </c>
    </row>
    <row r="84" spans="1:9" ht="172.8" x14ac:dyDescent="0.3">
      <c r="A84" s="33" t="s">
        <v>1060</v>
      </c>
      <c r="B84" s="2" t="s">
        <v>246</v>
      </c>
      <c r="C84" s="2" t="s">
        <v>475</v>
      </c>
      <c r="D84" s="52" t="s">
        <v>278</v>
      </c>
      <c r="E84" s="14" t="s">
        <v>480</v>
      </c>
      <c r="F84" s="2" t="s">
        <v>481</v>
      </c>
      <c r="G84" s="2" t="s">
        <v>943</v>
      </c>
      <c r="H84" s="42" t="s">
        <v>958</v>
      </c>
      <c r="I84" s="53" t="s">
        <v>974</v>
      </c>
    </row>
    <row r="85" spans="1:9" ht="158.4" x14ac:dyDescent="0.3">
      <c r="A85" s="33" t="s">
        <v>1061</v>
      </c>
      <c r="B85" s="2" t="s">
        <v>246</v>
      </c>
      <c r="C85" s="2" t="s">
        <v>475</v>
      </c>
      <c r="D85" s="42" t="s">
        <v>297</v>
      </c>
      <c r="E85" s="14" t="s">
        <v>482</v>
      </c>
      <c r="F85" s="14" t="s">
        <v>483</v>
      </c>
      <c r="G85" s="2" t="s">
        <v>943</v>
      </c>
      <c r="H85" s="42" t="s">
        <v>960</v>
      </c>
      <c r="I85" s="42" t="s">
        <v>974</v>
      </c>
    </row>
    <row r="86" spans="1:9" ht="115.2" x14ac:dyDescent="0.3">
      <c r="A86" s="33" t="s">
        <v>1062</v>
      </c>
      <c r="B86" s="2" t="s">
        <v>247</v>
      </c>
      <c r="C86" s="2" t="s">
        <v>484</v>
      </c>
      <c r="D86" s="52" t="s">
        <v>274</v>
      </c>
      <c r="E86" s="14" t="s">
        <v>485</v>
      </c>
      <c r="F86" s="14" t="s">
        <v>486</v>
      </c>
      <c r="G86" s="2" t="s">
        <v>943</v>
      </c>
      <c r="H86" s="53" t="s">
        <v>962</v>
      </c>
      <c r="I86" s="42" t="s">
        <v>974</v>
      </c>
    </row>
    <row r="87" spans="1:9" ht="144" x14ac:dyDescent="0.3">
      <c r="A87" s="33" t="s">
        <v>1063</v>
      </c>
      <c r="B87" s="2" t="s">
        <v>247</v>
      </c>
      <c r="C87" s="2" t="s">
        <v>484</v>
      </c>
      <c r="D87" s="52" t="s">
        <v>276</v>
      </c>
      <c r="E87" s="14" t="s">
        <v>487</v>
      </c>
      <c r="F87" s="14" t="s">
        <v>488</v>
      </c>
      <c r="G87" s="2" t="s">
        <v>943</v>
      </c>
      <c r="H87" s="42" t="s">
        <v>960</v>
      </c>
      <c r="I87" s="42" t="s">
        <v>974</v>
      </c>
    </row>
    <row r="88" spans="1:9" ht="187.2" x14ac:dyDescent="0.3">
      <c r="A88" s="33" t="s">
        <v>1064</v>
      </c>
      <c r="B88" s="2" t="s">
        <v>247</v>
      </c>
      <c r="C88" s="2" t="s">
        <v>484</v>
      </c>
      <c r="D88" s="42" t="s">
        <v>294</v>
      </c>
      <c r="E88" s="14" t="s">
        <v>489</v>
      </c>
      <c r="F88" s="14" t="s">
        <v>490</v>
      </c>
      <c r="G88" s="2" t="s">
        <v>943</v>
      </c>
      <c r="H88" s="42" t="s">
        <v>960</v>
      </c>
      <c r="I88" s="42" t="s">
        <v>971</v>
      </c>
    </row>
    <row r="89" spans="1:9" ht="144" x14ac:dyDescent="0.3">
      <c r="A89" s="33" t="s">
        <v>1065</v>
      </c>
      <c r="B89" s="2" t="s">
        <v>247</v>
      </c>
      <c r="C89" s="2" t="s">
        <v>484</v>
      </c>
      <c r="D89" s="42" t="s">
        <v>300</v>
      </c>
      <c r="E89" s="14" t="s">
        <v>493</v>
      </c>
      <c r="F89" s="14" t="s">
        <v>494</v>
      </c>
      <c r="G89" s="2" t="s">
        <v>943</v>
      </c>
      <c r="H89" s="53" t="s">
        <v>952</v>
      </c>
      <c r="I89" s="53" t="s">
        <v>974</v>
      </c>
    </row>
    <row r="90" spans="1:9" ht="403.2" x14ac:dyDescent="0.3">
      <c r="A90" s="33" t="s">
        <v>1066</v>
      </c>
      <c r="B90" s="2" t="s">
        <v>247</v>
      </c>
      <c r="C90" s="2" t="s">
        <v>484</v>
      </c>
      <c r="D90" s="2" t="s">
        <v>347</v>
      </c>
      <c r="E90" s="14" t="s">
        <v>495</v>
      </c>
      <c r="F90" s="14" t="s">
        <v>496</v>
      </c>
      <c r="G90" s="2" t="s">
        <v>943</v>
      </c>
      <c r="H90" s="53" t="s">
        <v>952</v>
      </c>
      <c r="I90" s="53" t="s">
        <v>974</v>
      </c>
    </row>
    <row r="91" spans="1:9" ht="158.4" x14ac:dyDescent="0.3">
      <c r="A91" s="33" t="s">
        <v>1067</v>
      </c>
      <c r="B91" s="2" t="s">
        <v>247</v>
      </c>
      <c r="C91" s="2" t="s">
        <v>484</v>
      </c>
      <c r="D91" s="2" t="s">
        <v>370</v>
      </c>
      <c r="E91" s="14" t="s">
        <v>499</v>
      </c>
      <c r="F91" s="14" t="s">
        <v>500</v>
      </c>
      <c r="G91" s="2" t="s">
        <v>943</v>
      </c>
      <c r="H91" s="53" t="s">
        <v>952</v>
      </c>
      <c r="I91" s="53" t="s">
        <v>974</v>
      </c>
    </row>
    <row r="92" spans="1:9" ht="216" x14ac:dyDescent="0.3">
      <c r="A92" s="33" t="s">
        <v>1068</v>
      </c>
      <c r="B92" s="2" t="s">
        <v>248</v>
      </c>
      <c r="C92" s="2" t="s">
        <v>501</v>
      </c>
      <c r="D92" s="52" t="s">
        <v>274</v>
      </c>
      <c r="E92" s="14" t="s">
        <v>502</v>
      </c>
      <c r="F92" s="14" t="s">
        <v>503</v>
      </c>
      <c r="G92" s="2" t="s">
        <v>941</v>
      </c>
      <c r="H92" s="42" t="s">
        <v>950</v>
      </c>
      <c r="I92" s="42" t="s">
        <v>971</v>
      </c>
    </row>
    <row r="93" spans="1:9" ht="144" x14ac:dyDescent="0.3">
      <c r="A93" s="33" t="s">
        <v>1069</v>
      </c>
      <c r="B93" s="2" t="s">
        <v>248</v>
      </c>
      <c r="C93" s="2" t="s">
        <v>501</v>
      </c>
      <c r="D93" s="52" t="s">
        <v>276</v>
      </c>
      <c r="E93" s="14" t="s">
        <v>504</v>
      </c>
      <c r="F93" s="14" t="s">
        <v>505</v>
      </c>
      <c r="G93" s="2" t="s">
        <v>941</v>
      </c>
      <c r="H93" s="42" t="s">
        <v>950</v>
      </c>
      <c r="I93" s="42" t="s">
        <v>971</v>
      </c>
    </row>
    <row r="94" spans="1:9" ht="201.6" x14ac:dyDescent="0.3">
      <c r="A94" s="33" t="s">
        <v>1070</v>
      </c>
      <c r="B94" s="2" t="s">
        <v>248</v>
      </c>
      <c r="C94" s="2" t="s">
        <v>501</v>
      </c>
      <c r="D94" s="52" t="s">
        <v>278</v>
      </c>
      <c r="E94" s="14" t="s">
        <v>506</v>
      </c>
      <c r="F94" s="14" t="s">
        <v>507</v>
      </c>
      <c r="G94" s="2" t="s">
        <v>941</v>
      </c>
      <c r="H94" s="42" t="s">
        <v>958</v>
      </c>
      <c r="I94" s="53" t="s">
        <v>974</v>
      </c>
    </row>
    <row r="95" spans="1:9" ht="374.4" x14ac:dyDescent="0.3">
      <c r="A95" s="33" t="s">
        <v>1071</v>
      </c>
      <c r="B95" s="2" t="s">
        <v>248</v>
      </c>
      <c r="C95" s="2" t="s">
        <v>501</v>
      </c>
      <c r="D95" s="52" t="s">
        <v>294</v>
      </c>
      <c r="E95" s="14" t="s">
        <v>508</v>
      </c>
      <c r="F95" s="14" t="s">
        <v>509</v>
      </c>
      <c r="G95" s="2" t="s">
        <v>941</v>
      </c>
      <c r="H95" s="42" t="s">
        <v>950</v>
      </c>
      <c r="I95" s="42" t="s">
        <v>971</v>
      </c>
    </row>
    <row r="96" spans="1:9" ht="144" x14ac:dyDescent="0.3">
      <c r="A96" s="33" t="s">
        <v>1072</v>
      </c>
      <c r="B96" s="2" t="s">
        <v>248</v>
      </c>
      <c r="C96" s="2" t="s">
        <v>501</v>
      </c>
      <c r="D96" s="52" t="s">
        <v>297</v>
      </c>
      <c r="E96" s="14" t="s">
        <v>510</v>
      </c>
      <c r="F96" s="2" t="s">
        <v>511</v>
      </c>
      <c r="G96" s="2" t="s">
        <v>941</v>
      </c>
      <c r="H96" s="42" t="s">
        <v>950</v>
      </c>
      <c r="I96" s="53" t="s">
        <v>971</v>
      </c>
    </row>
    <row r="97" spans="1:9" ht="172.8" x14ac:dyDescent="0.3">
      <c r="A97" s="33" t="s">
        <v>1073</v>
      </c>
      <c r="B97" s="2" t="s">
        <v>248</v>
      </c>
      <c r="C97" s="2" t="s">
        <v>501</v>
      </c>
      <c r="D97" s="52" t="s">
        <v>300</v>
      </c>
      <c r="E97" s="14" t="s">
        <v>512</v>
      </c>
      <c r="F97" s="2" t="s">
        <v>513</v>
      </c>
      <c r="G97" s="2" t="s">
        <v>941</v>
      </c>
      <c r="H97" s="42" t="s">
        <v>960</v>
      </c>
      <c r="I97" s="42" t="s">
        <v>971</v>
      </c>
    </row>
    <row r="98" spans="1:9" ht="302.39999999999998" x14ac:dyDescent="0.3">
      <c r="A98" s="33" t="s">
        <v>1074</v>
      </c>
      <c r="B98" s="2" t="s">
        <v>249</v>
      </c>
      <c r="C98" s="2" t="s">
        <v>514</v>
      </c>
      <c r="D98" s="52" t="s">
        <v>274</v>
      </c>
      <c r="E98" s="14" t="s">
        <v>515</v>
      </c>
      <c r="F98" s="14" t="s">
        <v>516</v>
      </c>
      <c r="G98" s="2" t="s">
        <v>941</v>
      </c>
      <c r="H98" s="42" t="s">
        <v>958</v>
      </c>
      <c r="I98" s="53" t="s">
        <v>971</v>
      </c>
    </row>
    <row r="99" spans="1:9" ht="273.60000000000002" x14ac:dyDescent="0.3">
      <c r="A99" s="33" t="s">
        <v>1075</v>
      </c>
      <c r="B99" s="2" t="s">
        <v>249</v>
      </c>
      <c r="C99" s="2" t="s">
        <v>514</v>
      </c>
      <c r="D99" s="52" t="s">
        <v>276</v>
      </c>
      <c r="E99" s="14" t="s">
        <v>517</v>
      </c>
      <c r="F99" s="14" t="s">
        <v>518</v>
      </c>
      <c r="G99" s="2" t="s">
        <v>941</v>
      </c>
      <c r="H99" s="42" t="s">
        <v>958</v>
      </c>
      <c r="I99" s="53" t="s">
        <v>971</v>
      </c>
    </row>
    <row r="100" spans="1:9" ht="129.6" x14ac:dyDescent="0.3">
      <c r="A100" s="33" t="s">
        <v>1076</v>
      </c>
      <c r="B100" s="2" t="s">
        <v>249</v>
      </c>
      <c r="C100" s="2" t="s">
        <v>514</v>
      </c>
      <c r="D100" s="52" t="s">
        <v>278</v>
      </c>
      <c r="E100" s="14" t="s">
        <v>519</v>
      </c>
      <c r="F100" s="14" t="s">
        <v>520</v>
      </c>
      <c r="G100" s="2" t="s">
        <v>941</v>
      </c>
      <c r="H100" s="42" t="s">
        <v>958</v>
      </c>
      <c r="I100" s="53" t="s">
        <v>971</v>
      </c>
    </row>
    <row r="101" spans="1:9" ht="129.6" x14ac:dyDescent="0.3">
      <c r="A101" s="33" t="s">
        <v>1077</v>
      </c>
      <c r="B101" s="2" t="s">
        <v>249</v>
      </c>
      <c r="C101" s="2" t="s">
        <v>514</v>
      </c>
      <c r="D101" s="42" t="s">
        <v>294</v>
      </c>
      <c r="E101" s="14" t="s">
        <v>521</v>
      </c>
      <c r="F101" s="14" t="s">
        <v>522</v>
      </c>
      <c r="G101" s="2" t="s">
        <v>941</v>
      </c>
      <c r="H101" s="42" t="s">
        <v>958</v>
      </c>
      <c r="I101" s="53" t="s">
        <v>971</v>
      </c>
    </row>
    <row r="102" spans="1:9" ht="158.4" x14ac:dyDescent="0.3">
      <c r="A102" s="33" t="s">
        <v>1078</v>
      </c>
      <c r="B102" s="2" t="s">
        <v>249</v>
      </c>
      <c r="C102" s="2" t="s">
        <v>514</v>
      </c>
      <c r="D102" s="42" t="s">
        <v>297</v>
      </c>
      <c r="E102" s="14" t="s">
        <v>523</v>
      </c>
      <c r="F102" s="14" t="s">
        <v>524</v>
      </c>
      <c r="G102" s="2" t="s">
        <v>941</v>
      </c>
      <c r="H102" s="42" t="s">
        <v>958</v>
      </c>
      <c r="I102" s="53" t="s">
        <v>971</v>
      </c>
    </row>
    <row r="103" spans="1:9" ht="115.2" x14ac:dyDescent="0.3">
      <c r="A103" s="33" t="s">
        <v>1080</v>
      </c>
      <c r="B103" s="2" t="s">
        <v>249</v>
      </c>
      <c r="C103" s="2" t="s">
        <v>514</v>
      </c>
      <c r="D103" s="2" t="s">
        <v>347</v>
      </c>
      <c r="E103" s="14" t="s">
        <v>529</v>
      </c>
      <c r="F103" s="14" t="s">
        <v>530</v>
      </c>
      <c r="G103" s="2" t="s">
        <v>941</v>
      </c>
      <c r="H103" s="42" t="s">
        <v>958</v>
      </c>
      <c r="I103" s="53" t="s">
        <v>971</v>
      </c>
    </row>
    <row r="104" spans="1:9" ht="144" x14ac:dyDescent="0.3">
      <c r="A104" s="33" t="s">
        <v>1081</v>
      </c>
      <c r="B104" s="2" t="s">
        <v>249</v>
      </c>
      <c r="C104" s="2" t="s">
        <v>514</v>
      </c>
      <c r="D104" s="2" t="s">
        <v>350</v>
      </c>
      <c r="E104" s="14" t="s">
        <v>531</v>
      </c>
      <c r="F104" s="14" t="s">
        <v>532</v>
      </c>
      <c r="G104" s="2" t="s">
        <v>941</v>
      </c>
      <c r="H104" s="42" t="s">
        <v>958</v>
      </c>
      <c r="I104" s="53" t="s">
        <v>971</v>
      </c>
    </row>
    <row r="105" spans="1:9" ht="129.6" x14ac:dyDescent="0.3">
      <c r="A105" s="34" t="s">
        <v>1082</v>
      </c>
      <c r="B105" s="44" t="s">
        <v>249</v>
      </c>
      <c r="C105" s="44" t="s">
        <v>514</v>
      </c>
      <c r="D105" s="44" t="s">
        <v>405</v>
      </c>
      <c r="E105" s="56" t="s">
        <v>535</v>
      </c>
      <c r="F105" s="44" t="s">
        <v>536</v>
      </c>
      <c r="G105" s="44" t="s">
        <v>941</v>
      </c>
      <c r="H105" s="42" t="s">
        <v>958</v>
      </c>
      <c r="I105" s="82" t="s">
        <v>971</v>
      </c>
    </row>
    <row r="106" spans="1:9" ht="244.8" x14ac:dyDescent="0.3">
      <c r="A106" s="33" t="s">
        <v>1083</v>
      </c>
      <c r="B106" s="2" t="s">
        <v>249</v>
      </c>
      <c r="C106" s="2" t="s">
        <v>514</v>
      </c>
      <c r="D106" s="2" t="s">
        <v>435</v>
      </c>
      <c r="E106" s="14" t="s">
        <v>539</v>
      </c>
      <c r="F106" s="14" t="s">
        <v>540</v>
      </c>
      <c r="G106" s="2" t="s">
        <v>941</v>
      </c>
      <c r="H106" s="42" t="s">
        <v>960</v>
      </c>
      <c r="I106" s="42" t="s">
        <v>971</v>
      </c>
    </row>
    <row r="107" spans="1:9" ht="409.6" x14ac:dyDescent="0.3">
      <c r="A107" s="33" t="s">
        <v>1084</v>
      </c>
      <c r="B107" s="2" t="s">
        <v>252</v>
      </c>
      <c r="C107" s="2" t="s">
        <v>585</v>
      </c>
      <c r="D107" s="52" t="s">
        <v>274</v>
      </c>
      <c r="E107" s="14" t="s">
        <v>586</v>
      </c>
      <c r="F107" s="14" t="s">
        <v>587</v>
      </c>
      <c r="G107" s="2" t="s">
        <v>941</v>
      </c>
      <c r="H107" s="53" t="s">
        <v>948</v>
      </c>
      <c r="I107" s="53" t="s">
        <v>971</v>
      </c>
    </row>
    <row r="108" spans="1:9" ht="409.6" x14ac:dyDescent="0.3">
      <c r="A108" s="33" t="s">
        <v>1085</v>
      </c>
      <c r="B108" s="2" t="s">
        <v>252</v>
      </c>
      <c r="C108" s="2" t="s">
        <v>585</v>
      </c>
      <c r="D108" s="52" t="s">
        <v>276</v>
      </c>
      <c r="E108" s="14" t="s">
        <v>588</v>
      </c>
      <c r="F108" s="14" t="s">
        <v>589</v>
      </c>
      <c r="G108" s="2" t="s">
        <v>941</v>
      </c>
      <c r="H108" s="53" t="s">
        <v>950</v>
      </c>
      <c r="I108" s="53" t="s">
        <v>971</v>
      </c>
    </row>
    <row r="109" spans="1:9" ht="86.4" x14ac:dyDescent="0.3">
      <c r="A109" s="33" t="s">
        <v>1086</v>
      </c>
      <c r="B109" s="2" t="s">
        <v>252</v>
      </c>
      <c r="C109" s="2" t="s">
        <v>585</v>
      </c>
      <c r="D109" s="52" t="s">
        <v>278</v>
      </c>
      <c r="E109" s="14" t="s">
        <v>590</v>
      </c>
      <c r="F109" s="14" t="s">
        <v>591</v>
      </c>
      <c r="G109" s="2" t="s">
        <v>941</v>
      </c>
      <c r="H109" s="53" t="s">
        <v>948</v>
      </c>
      <c r="I109" s="53" t="s">
        <v>971</v>
      </c>
    </row>
    <row r="110" spans="1:9" ht="187.2" x14ac:dyDescent="0.3">
      <c r="A110" s="33" t="s">
        <v>1087</v>
      </c>
      <c r="B110" s="2" t="s">
        <v>252</v>
      </c>
      <c r="C110" s="2" t="s">
        <v>585</v>
      </c>
      <c r="D110" s="42" t="s">
        <v>294</v>
      </c>
      <c r="E110" s="14" t="s">
        <v>592</v>
      </c>
      <c r="F110" s="14" t="s">
        <v>593</v>
      </c>
      <c r="G110" s="2" t="s">
        <v>941</v>
      </c>
      <c r="H110" s="53" t="s">
        <v>950</v>
      </c>
      <c r="I110" s="53" t="s">
        <v>971</v>
      </c>
    </row>
    <row r="111" spans="1:9" ht="409.6" x14ac:dyDescent="0.3">
      <c r="A111" s="33" t="s">
        <v>1088</v>
      </c>
      <c r="B111" s="2" t="s">
        <v>252</v>
      </c>
      <c r="C111" s="2" t="s">
        <v>585</v>
      </c>
      <c r="D111" s="42" t="s">
        <v>297</v>
      </c>
      <c r="E111" s="14" t="s">
        <v>594</v>
      </c>
      <c r="F111" s="2" t="s">
        <v>595</v>
      </c>
      <c r="G111" s="2" t="s">
        <v>941</v>
      </c>
      <c r="H111" s="42" t="s">
        <v>958</v>
      </c>
      <c r="I111" s="53" t="s">
        <v>971</v>
      </c>
    </row>
    <row r="112" spans="1:9" ht="158.4" x14ac:dyDescent="0.3">
      <c r="A112" s="33" t="s">
        <v>1089</v>
      </c>
      <c r="B112" s="2" t="s">
        <v>252</v>
      </c>
      <c r="C112" s="2" t="s">
        <v>585</v>
      </c>
      <c r="D112" s="42" t="s">
        <v>300</v>
      </c>
      <c r="E112" s="14" t="s">
        <v>596</v>
      </c>
      <c r="F112" s="14" t="s">
        <v>597</v>
      </c>
      <c r="G112" s="2" t="s">
        <v>941</v>
      </c>
      <c r="H112" s="53" t="s">
        <v>950</v>
      </c>
      <c r="I112" s="53" t="s">
        <v>971</v>
      </c>
    </row>
    <row r="113" spans="1:9" ht="158.4" x14ac:dyDescent="0.3">
      <c r="A113" s="33" t="s">
        <v>1090</v>
      </c>
      <c r="B113" s="2" t="s">
        <v>252</v>
      </c>
      <c r="C113" s="2" t="s">
        <v>585</v>
      </c>
      <c r="D113" s="2" t="s">
        <v>350</v>
      </c>
      <c r="E113" s="14" t="s">
        <v>600</v>
      </c>
      <c r="F113" s="14" t="s">
        <v>601</v>
      </c>
      <c r="G113" s="2" t="s">
        <v>941</v>
      </c>
      <c r="H113" s="42" t="s">
        <v>958</v>
      </c>
      <c r="I113" s="53" t="s">
        <v>971</v>
      </c>
    </row>
    <row r="114" spans="1:9" ht="172.8" x14ac:dyDescent="0.3">
      <c r="A114" s="33" t="s">
        <v>1091</v>
      </c>
      <c r="B114" s="2" t="s">
        <v>252</v>
      </c>
      <c r="C114" s="2" t="s">
        <v>585</v>
      </c>
      <c r="D114" s="2" t="s">
        <v>370</v>
      </c>
      <c r="E114" s="14" t="s">
        <v>602</v>
      </c>
      <c r="F114" s="14" t="s">
        <v>603</v>
      </c>
      <c r="G114" s="2" t="s">
        <v>941</v>
      </c>
      <c r="H114" s="42" t="s">
        <v>958</v>
      </c>
      <c r="I114" s="53" t="s">
        <v>971</v>
      </c>
    </row>
    <row r="115" spans="1:9" ht="172.8" x14ac:dyDescent="0.3">
      <c r="A115" s="33" t="s">
        <v>1092</v>
      </c>
      <c r="B115" s="2" t="s">
        <v>252</v>
      </c>
      <c r="C115" s="2" t="s">
        <v>585</v>
      </c>
      <c r="D115" s="2" t="s">
        <v>405</v>
      </c>
      <c r="E115" s="14" t="s">
        <v>604</v>
      </c>
      <c r="F115" s="14" t="s">
        <v>605</v>
      </c>
      <c r="G115" s="2" t="s">
        <v>941</v>
      </c>
      <c r="H115" s="53" t="s">
        <v>952</v>
      </c>
      <c r="I115" s="53" t="s">
        <v>971</v>
      </c>
    </row>
    <row r="116" spans="1:9" ht="158.4" x14ac:dyDescent="0.3">
      <c r="A116" s="33" t="s">
        <v>1093</v>
      </c>
      <c r="B116" s="2" t="s">
        <v>253</v>
      </c>
      <c r="C116" s="2" t="s">
        <v>606</v>
      </c>
      <c r="D116" s="52" t="s">
        <v>276</v>
      </c>
      <c r="E116" s="14" t="s">
        <v>609</v>
      </c>
      <c r="F116" s="14" t="s">
        <v>610</v>
      </c>
      <c r="G116" s="2" t="s">
        <v>941</v>
      </c>
      <c r="H116" s="42" t="s">
        <v>960</v>
      </c>
      <c r="I116" s="42" t="s">
        <v>971</v>
      </c>
    </row>
    <row r="117" spans="1:9" ht="144" x14ac:dyDescent="0.3">
      <c r="A117" s="33" t="s">
        <v>1094</v>
      </c>
      <c r="B117" s="2" t="s">
        <v>253</v>
      </c>
      <c r="C117" s="2" t="s">
        <v>606</v>
      </c>
      <c r="D117" s="52" t="s">
        <v>278</v>
      </c>
      <c r="E117" s="14" t="s">
        <v>611</v>
      </c>
      <c r="F117" s="14" t="s">
        <v>612</v>
      </c>
      <c r="G117" s="2" t="s">
        <v>941</v>
      </c>
      <c r="H117" s="42" t="s">
        <v>960</v>
      </c>
      <c r="I117" s="42" t="s">
        <v>971</v>
      </c>
    </row>
    <row r="118" spans="1:9" ht="144" x14ac:dyDescent="0.3">
      <c r="A118" s="33" t="s">
        <v>1095</v>
      </c>
      <c r="B118" s="2" t="s">
        <v>255</v>
      </c>
      <c r="C118" s="2" t="s">
        <v>620</v>
      </c>
      <c r="D118" s="52" t="s">
        <v>276</v>
      </c>
      <c r="E118" s="14" t="s">
        <v>623</v>
      </c>
      <c r="F118" s="14" t="s">
        <v>624</v>
      </c>
      <c r="G118" s="2" t="s">
        <v>941</v>
      </c>
      <c r="H118" s="42" t="s">
        <v>960</v>
      </c>
      <c r="I118" s="42" t="s">
        <v>971</v>
      </c>
    </row>
    <row r="119" spans="1:9" ht="230.4" x14ac:dyDescent="0.3">
      <c r="A119" s="33" t="s">
        <v>1096</v>
      </c>
      <c r="B119" s="2" t="s">
        <v>256</v>
      </c>
      <c r="C119" s="2" t="s">
        <v>627</v>
      </c>
      <c r="D119" s="52" t="s">
        <v>274</v>
      </c>
      <c r="E119" s="14" t="s">
        <v>628</v>
      </c>
      <c r="F119" s="14" t="s">
        <v>629</v>
      </c>
      <c r="G119" s="2" t="s">
        <v>941</v>
      </c>
      <c r="H119" s="42" t="s">
        <v>958</v>
      </c>
      <c r="I119" s="53" t="s">
        <v>971</v>
      </c>
    </row>
    <row r="120" spans="1:9" ht="129.6" x14ac:dyDescent="0.3">
      <c r="A120" s="33" t="s">
        <v>1097</v>
      </c>
      <c r="B120" s="2" t="s">
        <v>256</v>
      </c>
      <c r="C120" s="2" t="s">
        <v>627</v>
      </c>
      <c r="D120" s="52" t="s">
        <v>276</v>
      </c>
      <c r="E120" s="14" t="s">
        <v>630</v>
      </c>
      <c r="F120" s="14" t="s">
        <v>631</v>
      </c>
      <c r="G120" s="2" t="s">
        <v>941</v>
      </c>
      <c r="H120" s="42" t="s">
        <v>958</v>
      </c>
      <c r="I120" s="53" t="s">
        <v>971</v>
      </c>
    </row>
    <row r="121" spans="1:9" ht="144" x14ac:dyDescent="0.3">
      <c r="A121" s="33" t="s">
        <v>1098</v>
      </c>
      <c r="B121" s="2" t="s">
        <v>256</v>
      </c>
      <c r="C121" s="2" t="s">
        <v>627</v>
      </c>
      <c r="D121" s="52" t="s">
        <v>278</v>
      </c>
      <c r="E121" s="14" t="s">
        <v>632</v>
      </c>
      <c r="F121" s="14" t="s">
        <v>633</v>
      </c>
      <c r="G121" s="2" t="s">
        <v>941</v>
      </c>
      <c r="H121" s="53" t="s">
        <v>952</v>
      </c>
      <c r="I121" s="53" t="s">
        <v>971</v>
      </c>
    </row>
    <row r="122" spans="1:9" ht="158.4" x14ac:dyDescent="0.3">
      <c r="A122" s="33" t="s">
        <v>1099</v>
      </c>
      <c r="B122" s="2" t="s">
        <v>256</v>
      </c>
      <c r="C122" s="2" t="s">
        <v>627</v>
      </c>
      <c r="D122" s="42" t="s">
        <v>294</v>
      </c>
      <c r="E122" s="14" t="s">
        <v>634</v>
      </c>
      <c r="F122" s="14" t="s">
        <v>635</v>
      </c>
      <c r="G122" s="2" t="s">
        <v>941</v>
      </c>
      <c r="H122" s="42" t="s">
        <v>958</v>
      </c>
      <c r="I122" s="53" t="s">
        <v>971</v>
      </c>
    </row>
    <row r="123" spans="1:9" ht="158.4" x14ac:dyDescent="0.3">
      <c r="A123" s="33" t="s">
        <v>1100</v>
      </c>
      <c r="B123" s="2" t="s">
        <v>256</v>
      </c>
      <c r="C123" s="2" t="s">
        <v>627</v>
      </c>
      <c r="D123" s="42" t="s">
        <v>297</v>
      </c>
      <c r="E123" s="14" t="s">
        <v>636</v>
      </c>
      <c r="F123" s="14" t="s">
        <v>637</v>
      </c>
      <c r="G123" s="2" t="s">
        <v>941</v>
      </c>
      <c r="H123" s="42" t="s">
        <v>958</v>
      </c>
      <c r="I123" s="53" t="s">
        <v>971</v>
      </c>
    </row>
    <row r="124" spans="1:9" ht="158.4" x14ac:dyDescent="0.3">
      <c r="A124" s="33" t="s">
        <v>1101</v>
      </c>
      <c r="B124" s="2" t="s">
        <v>256</v>
      </c>
      <c r="C124" s="2" t="s">
        <v>627</v>
      </c>
      <c r="D124" s="42" t="s">
        <v>300</v>
      </c>
      <c r="E124" s="14" t="s">
        <v>638</v>
      </c>
      <c r="F124" s="14" t="s">
        <v>639</v>
      </c>
      <c r="G124" s="2" t="s">
        <v>941</v>
      </c>
      <c r="H124" s="42" t="s">
        <v>958</v>
      </c>
      <c r="I124" s="53" t="s">
        <v>971</v>
      </c>
    </row>
    <row r="125" spans="1:9" ht="129.6" x14ac:dyDescent="0.3">
      <c r="A125" s="33" t="s">
        <v>1102</v>
      </c>
      <c r="B125" s="2" t="s">
        <v>256</v>
      </c>
      <c r="C125" s="2" t="s">
        <v>627</v>
      </c>
      <c r="D125" s="2" t="s">
        <v>347</v>
      </c>
      <c r="E125" s="14" t="s">
        <v>640</v>
      </c>
      <c r="F125" s="14" t="s">
        <v>641</v>
      </c>
      <c r="G125" s="2" t="s">
        <v>941</v>
      </c>
      <c r="H125" s="42" t="s">
        <v>958</v>
      </c>
      <c r="I125" s="53" t="s">
        <v>971</v>
      </c>
    </row>
    <row r="126" spans="1:9" ht="144" x14ac:dyDescent="0.3">
      <c r="A126" s="33" t="s">
        <v>1104</v>
      </c>
      <c r="B126" s="2" t="s">
        <v>256</v>
      </c>
      <c r="C126" s="2" t="s">
        <v>627</v>
      </c>
      <c r="D126" s="2" t="s">
        <v>370</v>
      </c>
      <c r="E126" s="14" t="s">
        <v>644</v>
      </c>
      <c r="F126" s="14" t="s">
        <v>645</v>
      </c>
      <c r="G126" s="2" t="s">
        <v>941</v>
      </c>
      <c r="H126" s="42" t="s">
        <v>958</v>
      </c>
      <c r="I126" s="53" t="s">
        <v>971</v>
      </c>
    </row>
    <row r="127" spans="1:9" ht="129.6" x14ac:dyDescent="0.3">
      <c r="A127" s="33" t="s">
        <v>1105</v>
      </c>
      <c r="B127" s="2" t="s">
        <v>257</v>
      </c>
      <c r="C127" s="2" t="s">
        <v>646</v>
      </c>
      <c r="D127" s="52" t="s">
        <v>274</v>
      </c>
      <c r="E127" s="14" t="s">
        <v>647</v>
      </c>
      <c r="F127" s="14" t="s">
        <v>648</v>
      </c>
      <c r="G127" s="2" t="s">
        <v>941</v>
      </c>
      <c r="H127" s="42" t="s">
        <v>958</v>
      </c>
      <c r="I127" s="53" t="s">
        <v>971</v>
      </c>
    </row>
    <row r="128" spans="1:9" ht="72" x14ac:dyDescent="0.3">
      <c r="A128" s="33" t="s">
        <v>1106</v>
      </c>
      <c r="B128" s="2" t="s">
        <v>257</v>
      </c>
      <c r="C128" s="2" t="s">
        <v>646</v>
      </c>
      <c r="D128" s="52" t="s">
        <v>276</v>
      </c>
      <c r="E128" s="31" t="s">
        <v>649</v>
      </c>
      <c r="F128" s="31" t="s">
        <v>650</v>
      </c>
      <c r="G128" s="2" t="s">
        <v>941</v>
      </c>
      <c r="H128" s="42" t="s">
        <v>958</v>
      </c>
      <c r="I128" s="53" t="s">
        <v>971</v>
      </c>
    </row>
    <row r="129" spans="1:9" ht="72" x14ac:dyDescent="0.3">
      <c r="A129" s="33" t="s">
        <v>1107</v>
      </c>
      <c r="B129" s="2" t="s">
        <v>257</v>
      </c>
      <c r="C129" s="2" t="s">
        <v>646</v>
      </c>
      <c r="D129" s="52" t="s">
        <v>278</v>
      </c>
      <c r="E129" s="31" t="s">
        <v>651</v>
      </c>
      <c r="F129" s="31" t="s">
        <v>652</v>
      </c>
      <c r="G129" s="2" t="s">
        <v>941</v>
      </c>
      <c r="H129" s="42" t="s">
        <v>958</v>
      </c>
      <c r="I129" s="53" t="s">
        <v>971</v>
      </c>
    </row>
    <row r="130" spans="1:9" ht="388.8" x14ac:dyDescent="0.3">
      <c r="A130" s="33" t="s">
        <v>1108</v>
      </c>
      <c r="B130" s="31" t="s">
        <v>266</v>
      </c>
      <c r="C130" s="31" t="s">
        <v>733</v>
      </c>
      <c r="D130" s="52" t="s">
        <v>278</v>
      </c>
      <c r="E130" s="31" t="s">
        <v>738</v>
      </c>
      <c r="F130" s="58" t="s">
        <v>739</v>
      </c>
      <c r="G130" s="31" t="s">
        <v>945</v>
      </c>
      <c r="H130" s="53" t="s">
        <v>952</v>
      </c>
      <c r="I130" s="53" t="s">
        <v>971</v>
      </c>
    </row>
    <row r="131" spans="1:9" x14ac:dyDescent="0.3">
      <c r="A131" s="36" t="s">
        <v>70</v>
      </c>
      <c r="B131" s="45"/>
      <c r="C131" s="45"/>
      <c r="D131" s="57"/>
      <c r="E131" s="45" t="s">
        <v>748</v>
      </c>
      <c r="F131" s="59"/>
      <c r="G131" s="2" t="s">
        <v>941</v>
      </c>
      <c r="H131" s="53" t="s">
        <v>950</v>
      </c>
      <c r="I131" s="53" t="s">
        <v>971</v>
      </c>
    </row>
    <row r="132" spans="1:9" x14ac:dyDescent="0.3">
      <c r="A132" s="36" t="s">
        <v>71</v>
      </c>
      <c r="B132" s="45"/>
      <c r="C132" s="45"/>
      <c r="D132" s="57"/>
      <c r="E132" s="45" t="s">
        <v>749</v>
      </c>
      <c r="F132" s="59"/>
      <c r="G132" s="2" t="s">
        <v>941</v>
      </c>
      <c r="H132" s="53" t="s">
        <v>950</v>
      </c>
      <c r="I132" s="53" t="s">
        <v>971</v>
      </c>
    </row>
    <row r="133" spans="1:9" x14ac:dyDescent="0.3">
      <c r="A133" s="36" t="s">
        <v>72</v>
      </c>
      <c r="B133" s="45"/>
      <c r="C133" s="45"/>
      <c r="D133" s="57"/>
      <c r="E133" s="45" t="s">
        <v>750</v>
      </c>
      <c r="F133" s="59"/>
      <c r="G133" s="2" t="s">
        <v>941</v>
      </c>
      <c r="H133" s="53" t="s">
        <v>950</v>
      </c>
      <c r="I133" s="53" t="s">
        <v>971</v>
      </c>
    </row>
    <row r="134" spans="1:9" x14ac:dyDescent="0.3">
      <c r="A134" s="36" t="s">
        <v>73</v>
      </c>
      <c r="B134" s="45"/>
      <c r="C134" s="45"/>
      <c r="D134" s="57"/>
      <c r="E134" s="45" t="s">
        <v>751</v>
      </c>
      <c r="F134" s="59"/>
      <c r="G134" s="2" t="s">
        <v>941</v>
      </c>
      <c r="H134" s="53" t="s">
        <v>950</v>
      </c>
      <c r="I134" s="53" t="s">
        <v>971</v>
      </c>
    </row>
    <row r="135" spans="1:9" x14ac:dyDescent="0.3">
      <c r="A135" s="36" t="s">
        <v>74</v>
      </c>
      <c r="B135" s="45"/>
      <c r="C135" s="45"/>
      <c r="D135" s="57"/>
      <c r="E135" s="45" t="s">
        <v>752</v>
      </c>
      <c r="F135" s="59"/>
      <c r="G135" s="2" t="s">
        <v>941</v>
      </c>
      <c r="H135" s="53" t="s">
        <v>950</v>
      </c>
      <c r="I135" s="53" t="s">
        <v>971</v>
      </c>
    </row>
    <row r="136" spans="1:9" ht="129.6" x14ac:dyDescent="0.3">
      <c r="A136" s="37" t="s">
        <v>75</v>
      </c>
      <c r="B136" s="46"/>
      <c r="C136" s="46"/>
      <c r="D136" s="46"/>
      <c r="E136" s="14" t="s">
        <v>753</v>
      </c>
      <c r="F136" s="60"/>
      <c r="G136" s="2" t="s">
        <v>941</v>
      </c>
      <c r="H136" s="42" t="s">
        <v>948</v>
      </c>
      <c r="I136" s="53" t="s">
        <v>971</v>
      </c>
    </row>
    <row r="137" spans="1:9" ht="273.60000000000002" x14ac:dyDescent="0.3">
      <c r="A137" s="38" t="s">
        <v>69</v>
      </c>
      <c r="B137" s="47"/>
      <c r="C137" s="47"/>
      <c r="D137" s="47"/>
      <c r="E137" s="61" t="s">
        <v>759</v>
      </c>
      <c r="F137" s="62" t="s">
        <v>760</v>
      </c>
      <c r="G137" s="41" t="s">
        <v>941</v>
      </c>
      <c r="H137" s="53" t="s">
        <v>962</v>
      </c>
      <c r="I137" s="53" t="s">
        <v>971</v>
      </c>
    </row>
    <row r="138" spans="1:9" ht="57.6" x14ac:dyDescent="0.3">
      <c r="A138" s="37" t="s">
        <v>82</v>
      </c>
      <c r="B138" s="46"/>
      <c r="C138" s="46"/>
      <c r="D138" s="46"/>
      <c r="E138" s="61" t="s">
        <v>762</v>
      </c>
      <c r="F138" s="62" t="s">
        <v>760</v>
      </c>
      <c r="G138" s="41" t="s">
        <v>941</v>
      </c>
      <c r="H138" s="75" t="s">
        <v>962</v>
      </c>
      <c r="I138" s="53" t="s">
        <v>974</v>
      </c>
    </row>
    <row r="139" spans="1:9" ht="115.2" x14ac:dyDescent="0.3">
      <c r="A139" s="37" t="s">
        <v>83</v>
      </c>
      <c r="B139" s="46"/>
      <c r="C139" s="46"/>
      <c r="D139" s="46"/>
      <c r="E139" s="61" t="s">
        <v>763</v>
      </c>
      <c r="F139" s="60"/>
      <c r="G139" s="41" t="s">
        <v>941</v>
      </c>
      <c r="H139" s="42" t="s">
        <v>960</v>
      </c>
      <c r="I139" s="42" t="s">
        <v>971</v>
      </c>
    </row>
    <row r="140" spans="1:9" ht="100.8" x14ac:dyDescent="0.3">
      <c r="A140" s="37" t="s">
        <v>84</v>
      </c>
      <c r="B140" s="46"/>
      <c r="C140" s="46"/>
      <c r="D140" s="46"/>
      <c r="E140" s="61" t="s">
        <v>764</v>
      </c>
      <c r="F140" s="60"/>
      <c r="G140" s="41" t="s">
        <v>941</v>
      </c>
      <c r="H140" s="42" t="s">
        <v>960</v>
      </c>
      <c r="I140" s="42" t="s">
        <v>971</v>
      </c>
    </row>
    <row r="141" spans="1:9" ht="86.4" x14ac:dyDescent="0.3">
      <c r="A141" s="39" t="s">
        <v>85</v>
      </c>
      <c r="B141" s="48"/>
      <c r="C141" s="48"/>
      <c r="D141" s="48"/>
      <c r="E141" s="63" t="s">
        <v>765</v>
      </c>
      <c r="F141" s="64"/>
      <c r="G141" s="72" t="s">
        <v>941</v>
      </c>
      <c r="H141" s="80" t="s">
        <v>952</v>
      </c>
      <c r="I141" s="83" t="s">
        <v>971</v>
      </c>
    </row>
    <row r="142" spans="1:9" ht="86.4" x14ac:dyDescent="0.3">
      <c r="A142" s="37" t="s">
        <v>86</v>
      </c>
      <c r="B142" s="46"/>
      <c r="C142" s="46"/>
      <c r="D142" s="46"/>
      <c r="E142" s="61" t="s">
        <v>766</v>
      </c>
      <c r="F142" s="60"/>
      <c r="G142" s="72" t="s">
        <v>941</v>
      </c>
      <c r="H142" s="80" t="s">
        <v>952</v>
      </c>
      <c r="I142" s="83" t="s">
        <v>971</v>
      </c>
    </row>
    <row r="143" spans="1:9" ht="57.6" x14ac:dyDescent="0.3">
      <c r="A143" s="37" t="s">
        <v>87</v>
      </c>
      <c r="B143" s="46"/>
      <c r="C143" s="46"/>
      <c r="D143" s="46"/>
      <c r="E143" s="61" t="s">
        <v>767</v>
      </c>
      <c r="F143" s="60"/>
      <c r="G143" s="41" t="s">
        <v>941</v>
      </c>
      <c r="H143" s="75" t="s">
        <v>962</v>
      </c>
      <c r="I143" s="81" t="s">
        <v>971</v>
      </c>
    </row>
    <row r="144" spans="1:9" ht="100.8" x14ac:dyDescent="0.3">
      <c r="A144" s="37" t="s">
        <v>88</v>
      </c>
      <c r="B144" s="46"/>
      <c r="C144" s="46"/>
      <c r="D144" s="46"/>
      <c r="E144" s="61" t="s">
        <v>768</v>
      </c>
      <c r="F144" s="60"/>
      <c r="G144" s="41" t="s">
        <v>941</v>
      </c>
      <c r="H144" s="75" t="s">
        <v>962</v>
      </c>
      <c r="I144" s="81" t="s">
        <v>971</v>
      </c>
    </row>
    <row r="145" spans="1:9" ht="86.4" x14ac:dyDescent="0.3">
      <c r="A145" s="37" t="s">
        <v>89</v>
      </c>
      <c r="B145" s="46"/>
      <c r="C145" s="46"/>
      <c r="D145" s="46"/>
      <c r="E145" s="61" t="s">
        <v>769</v>
      </c>
      <c r="F145" s="60"/>
      <c r="G145" s="41" t="s">
        <v>941</v>
      </c>
      <c r="H145" s="75" t="s">
        <v>962</v>
      </c>
      <c r="I145" s="81" t="s">
        <v>971</v>
      </c>
    </row>
    <row r="146" spans="1:9" ht="201.6" x14ac:dyDescent="0.3">
      <c r="A146" s="37" t="s">
        <v>90</v>
      </c>
      <c r="B146" s="46"/>
      <c r="C146" s="46"/>
      <c r="D146" s="46"/>
      <c r="E146" s="61" t="s">
        <v>770</v>
      </c>
      <c r="F146" s="60" t="s">
        <v>771</v>
      </c>
      <c r="G146" s="41" t="s">
        <v>941</v>
      </c>
      <c r="H146" s="75" t="s">
        <v>962</v>
      </c>
      <c r="I146" s="81" t="s">
        <v>971</v>
      </c>
    </row>
    <row r="147" spans="1:9" ht="187.2" x14ac:dyDescent="0.3">
      <c r="A147" s="37" t="s">
        <v>91</v>
      </c>
      <c r="B147" s="46"/>
      <c r="C147" s="46"/>
      <c r="D147" s="46"/>
      <c r="E147" s="61" t="s">
        <v>772</v>
      </c>
      <c r="F147" s="60" t="s">
        <v>773</v>
      </c>
      <c r="G147" s="41" t="s">
        <v>941</v>
      </c>
      <c r="H147" s="75" t="s">
        <v>962</v>
      </c>
      <c r="I147" s="81" t="s">
        <v>971</v>
      </c>
    </row>
    <row r="148" spans="1:9" ht="172.8" x14ac:dyDescent="0.3">
      <c r="A148" s="37" t="s">
        <v>92</v>
      </c>
      <c r="B148" s="46"/>
      <c r="C148" s="46"/>
      <c r="D148" s="46"/>
      <c r="E148" s="61" t="s">
        <v>774</v>
      </c>
      <c r="F148" s="60" t="s">
        <v>771</v>
      </c>
      <c r="G148" s="41" t="s">
        <v>941</v>
      </c>
      <c r="H148" s="75" t="s">
        <v>962</v>
      </c>
      <c r="I148" s="81" t="s">
        <v>971</v>
      </c>
    </row>
    <row r="149" spans="1:9" ht="187.2" x14ac:dyDescent="0.3">
      <c r="A149" s="37" t="s">
        <v>93</v>
      </c>
      <c r="B149" s="46"/>
      <c r="C149" s="46"/>
      <c r="D149" s="46"/>
      <c r="E149" s="61" t="s">
        <v>775</v>
      </c>
      <c r="F149" s="60" t="s">
        <v>773</v>
      </c>
      <c r="G149" s="41" t="s">
        <v>941</v>
      </c>
      <c r="H149" s="75" t="s">
        <v>962</v>
      </c>
      <c r="I149" s="81" t="s">
        <v>971</v>
      </c>
    </row>
    <row r="150" spans="1:9" ht="129.6" x14ac:dyDescent="0.3">
      <c r="A150" s="37" t="s">
        <v>94</v>
      </c>
      <c r="B150" s="46"/>
      <c r="C150" s="46"/>
      <c r="D150" s="46"/>
      <c r="E150" s="61" t="s">
        <v>776</v>
      </c>
      <c r="F150" s="60" t="s">
        <v>773</v>
      </c>
      <c r="G150" s="41" t="s">
        <v>941</v>
      </c>
      <c r="H150" s="75" t="s">
        <v>962</v>
      </c>
      <c r="I150" s="81" t="s">
        <v>971</v>
      </c>
    </row>
    <row r="151" spans="1:9" ht="129.6" x14ac:dyDescent="0.3">
      <c r="A151" s="37" t="s">
        <v>95</v>
      </c>
      <c r="B151" s="46"/>
      <c r="C151" s="46"/>
      <c r="D151" s="46"/>
      <c r="E151" s="61" t="s">
        <v>777</v>
      </c>
      <c r="F151" s="60" t="s">
        <v>771</v>
      </c>
      <c r="G151" s="41" t="s">
        <v>941</v>
      </c>
      <c r="H151" s="75" t="s">
        <v>962</v>
      </c>
      <c r="I151" s="81" t="s">
        <v>971</v>
      </c>
    </row>
    <row r="152" spans="1:9" ht="158.4" x14ac:dyDescent="0.3">
      <c r="A152" s="37" t="s">
        <v>96</v>
      </c>
      <c r="B152" s="46"/>
      <c r="C152" s="46"/>
      <c r="D152" s="46"/>
      <c r="E152" s="61" t="s">
        <v>778</v>
      </c>
      <c r="F152" s="60" t="s">
        <v>771</v>
      </c>
      <c r="G152" s="41" t="s">
        <v>941</v>
      </c>
      <c r="H152" s="75" t="s">
        <v>962</v>
      </c>
      <c r="I152" s="81" t="s">
        <v>971</v>
      </c>
    </row>
    <row r="153" spans="1:9" ht="129.6" x14ac:dyDescent="0.3">
      <c r="A153" s="37" t="s">
        <v>97</v>
      </c>
      <c r="B153" s="46"/>
      <c r="C153" s="46"/>
      <c r="D153" s="46"/>
      <c r="E153" s="61" t="s">
        <v>779</v>
      </c>
      <c r="F153" s="60" t="s">
        <v>771</v>
      </c>
      <c r="G153" s="41" t="s">
        <v>941</v>
      </c>
      <c r="H153" s="75" t="s">
        <v>962</v>
      </c>
      <c r="I153" s="81" t="s">
        <v>971</v>
      </c>
    </row>
    <row r="154" spans="1:9" ht="144" x14ac:dyDescent="0.3">
      <c r="A154" s="37" t="s">
        <v>98</v>
      </c>
      <c r="B154" s="46"/>
      <c r="C154" s="46"/>
      <c r="D154" s="46"/>
      <c r="E154" s="61" t="s">
        <v>780</v>
      </c>
      <c r="F154" s="60" t="s">
        <v>771</v>
      </c>
      <c r="G154" s="41" t="s">
        <v>941</v>
      </c>
      <c r="H154" s="75" t="s">
        <v>962</v>
      </c>
      <c r="I154" s="81" t="s">
        <v>971</v>
      </c>
    </row>
    <row r="155" spans="1:9" ht="129.6" x14ac:dyDescent="0.3">
      <c r="A155" s="37" t="s">
        <v>99</v>
      </c>
      <c r="B155" s="46"/>
      <c r="C155" s="46"/>
      <c r="D155" s="46"/>
      <c r="E155" s="61" t="s">
        <v>781</v>
      </c>
      <c r="F155" s="60" t="s">
        <v>773</v>
      </c>
      <c r="G155" s="41" t="s">
        <v>941</v>
      </c>
      <c r="H155" s="75" t="s">
        <v>962</v>
      </c>
      <c r="I155" s="81" t="s">
        <v>971</v>
      </c>
    </row>
    <row r="156" spans="1:9" ht="100.8" x14ac:dyDescent="0.3">
      <c r="A156" s="37" t="s">
        <v>100</v>
      </c>
      <c r="B156" s="46"/>
      <c r="C156" s="46"/>
      <c r="D156" s="46"/>
      <c r="E156" s="61" t="s">
        <v>782</v>
      </c>
      <c r="F156" s="60" t="s">
        <v>773</v>
      </c>
      <c r="G156" s="41" t="s">
        <v>941</v>
      </c>
      <c r="H156" s="75" t="s">
        <v>962</v>
      </c>
      <c r="I156" s="84" t="s">
        <v>971</v>
      </c>
    </row>
    <row r="157" spans="1:9" ht="144" x14ac:dyDescent="0.3">
      <c r="A157" s="37" t="s">
        <v>101</v>
      </c>
      <c r="B157" s="46"/>
      <c r="C157" s="46"/>
      <c r="D157" s="46"/>
      <c r="E157" s="61" t="s">
        <v>783</v>
      </c>
      <c r="F157" s="60" t="s">
        <v>773</v>
      </c>
      <c r="G157" s="41" t="s">
        <v>941</v>
      </c>
      <c r="H157" s="75" t="s">
        <v>962</v>
      </c>
      <c r="I157" s="81" t="s">
        <v>971</v>
      </c>
    </row>
    <row r="158" spans="1:9" ht="172.8" x14ac:dyDescent="0.3">
      <c r="A158" s="37" t="s">
        <v>102</v>
      </c>
      <c r="B158" s="46"/>
      <c r="C158" s="46"/>
      <c r="D158" s="46"/>
      <c r="E158" s="61" t="s">
        <v>784</v>
      </c>
      <c r="F158" s="60" t="s">
        <v>771</v>
      </c>
      <c r="G158" s="41" t="s">
        <v>941</v>
      </c>
      <c r="H158" s="75" t="s">
        <v>962</v>
      </c>
      <c r="I158" s="81" t="s">
        <v>971</v>
      </c>
    </row>
    <row r="159" spans="1:9" ht="244.8" x14ac:dyDescent="0.3">
      <c r="A159" s="37" t="s">
        <v>103</v>
      </c>
      <c r="B159" s="46"/>
      <c r="C159" s="46"/>
      <c r="D159" s="46"/>
      <c r="E159" s="61" t="s">
        <v>785</v>
      </c>
      <c r="F159" s="60" t="s">
        <v>773</v>
      </c>
      <c r="G159" s="41" t="s">
        <v>941</v>
      </c>
      <c r="H159" s="75" t="s">
        <v>962</v>
      </c>
      <c r="I159" s="81" t="s">
        <v>971</v>
      </c>
    </row>
    <row r="160" spans="1:9" ht="115.2" x14ac:dyDescent="0.3">
      <c r="A160" s="37" t="s">
        <v>104</v>
      </c>
      <c r="B160" s="46"/>
      <c r="C160" s="46"/>
      <c r="D160" s="46"/>
      <c r="E160" s="61" t="s">
        <v>786</v>
      </c>
      <c r="F160" s="60" t="s">
        <v>773</v>
      </c>
      <c r="G160" s="41" t="s">
        <v>941</v>
      </c>
      <c r="H160" s="75" t="s">
        <v>962</v>
      </c>
      <c r="I160" s="81" t="s">
        <v>971</v>
      </c>
    </row>
    <row r="161" spans="1:9" ht="158.4" x14ac:dyDescent="0.3">
      <c r="A161" s="37" t="s">
        <v>105</v>
      </c>
      <c r="B161" s="46"/>
      <c r="C161" s="46"/>
      <c r="D161" s="46"/>
      <c r="E161" s="61" t="s">
        <v>787</v>
      </c>
      <c r="F161" s="60" t="s">
        <v>773</v>
      </c>
      <c r="G161" s="41" t="s">
        <v>941</v>
      </c>
      <c r="H161" s="75" t="s">
        <v>962</v>
      </c>
      <c r="I161" s="81" t="s">
        <v>971</v>
      </c>
    </row>
    <row r="162" spans="1:9" ht="158.4" x14ac:dyDescent="0.3">
      <c r="A162" s="37" t="s">
        <v>106</v>
      </c>
      <c r="B162" s="46"/>
      <c r="C162" s="46"/>
      <c r="D162" s="46"/>
      <c r="E162" s="61" t="s">
        <v>788</v>
      </c>
      <c r="F162" s="60" t="s">
        <v>773</v>
      </c>
      <c r="G162" s="41" t="s">
        <v>941</v>
      </c>
      <c r="H162" s="75" t="s">
        <v>962</v>
      </c>
      <c r="I162" s="81" t="s">
        <v>971</v>
      </c>
    </row>
    <row r="163" spans="1:9" ht="115.2" x14ac:dyDescent="0.3">
      <c r="A163" s="37" t="s">
        <v>107</v>
      </c>
      <c r="B163" s="46"/>
      <c r="C163" s="46"/>
      <c r="D163" s="46"/>
      <c r="E163" s="61" t="s">
        <v>789</v>
      </c>
      <c r="F163" s="60" t="s">
        <v>771</v>
      </c>
      <c r="G163" s="41" t="s">
        <v>941</v>
      </c>
      <c r="H163" s="75" t="s">
        <v>962</v>
      </c>
      <c r="I163" s="84" t="s">
        <v>971</v>
      </c>
    </row>
    <row r="164" spans="1:9" ht="129.6" x14ac:dyDescent="0.3">
      <c r="A164" s="37" t="s">
        <v>108</v>
      </c>
      <c r="B164" s="46"/>
      <c r="C164" s="46"/>
      <c r="D164" s="46"/>
      <c r="E164" s="61" t="s">
        <v>790</v>
      </c>
      <c r="F164" s="60" t="s">
        <v>773</v>
      </c>
      <c r="G164" s="41" t="s">
        <v>941</v>
      </c>
      <c r="H164" s="75" t="s">
        <v>962</v>
      </c>
      <c r="I164" s="81" t="s">
        <v>971</v>
      </c>
    </row>
    <row r="165" spans="1:9" ht="115.2" x14ac:dyDescent="0.3">
      <c r="A165" s="37" t="s">
        <v>109</v>
      </c>
      <c r="B165" s="46"/>
      <c r="C165" s="46"/>
      <c r="D165" s="46"/>
      <c r="E165" s="61" t="s">
        <v>791</v>
      </c>
      <c r="F165" s="60" t="s">
        <v>773</v>
      </c>
      <c r="G165" s="41" t="s">
        <v>941</v>
      </c>
      <c r="H165" s="75" t="s">
        <v>962</v>
      </c>
      <c r="I165" s="81" t="s">
        <v>971</v>
      </c>
    </row>
    <row r="166" spans="1:9" ht="158.4" x14ac:dyDescent="0.3">
      <c r="A166" s="37" t="s">
        <v>110</v>
      </c>
      <c r="B166" s="46"/>
      <c r="C166" s="46"/>
      <c r="D166" s="46"/>
      <c r="E166" s="61" t="s">
        <v>792</v>
      </c>
      <c r="F166" s="60" t="s">
        <v>773</v>
      </c>
      <c r="G166" s="41" t="s">
        <v>941</v>
      </c>
      <c r="H166" s="75" t="s">
        <v>962</v>
      </c>
      <c r="I166" s="81" t="s">
        <v>971</v>
      </c>
    </row>
    <row r="167" spans="1:9" ht="144" x14ac:dyDescent="0.3">
      <c r="A167" s="37" t="s">
        <v>111</v>
      </c>
      <c r="B167" s="46"/>
      <c r="C167" s="46"/>
      <c r="D167" s="46"/>
      <c r="E167" s="61" t="s">
        <v>793</v>
      </c>
      <c r="F167" s="60" t="s">
        <v>771</v>
      </c>
      <c r="G167" s="41" t="s">
        <v>941</v>
      </c>
      <c r="H167" s="75" t="s">
        <v>962</v>
      </c>
      <c r="I167" s="81" t="s">
        <v>971</v>
      </c>
    </row>
    <row r="168" spans="1:9" ht="129.6" x14ac:dyDescent="0.3">
      <c r="A168" s="37" t="s">
        <v>113</v>
      </c>
      <c r="B168" s="46"/>
      <c r="C168" s="46"/>
      <c r="D168" s="46"/>
      <c r="E168" s="61" t="s">
        <v>795</v>
      </c>
      <c r="F168" s="60" t="s">
        <v>771</v>
      </c>
      <c r="G168" s="41" t="s">
        <v>941</v>
      </c>
      <c r="H168" s="75" t="s">
        <v>962</v>
      </c>
      <c r="I168" s="81" t="s">
        <v>971</v>
      </c>
    </row>
    <row r="169" spans="1:9" ht="144" x14ac:dyDescent="0.3">
      <c r="A169" s="37" t="s">
        <v>114</v>
      </c>
      <c r="B169" s="46"/>
      <c r="C169" s="46"/>
      <c r="D169" s="46"/>
      <c r="E169" s="61" t="s">
        <v>796</v>
      </c>
      <c r="F169" s="60" t="s">
        <v>771</v>
      </c>
      <c r="G169" s="41" t="s">
        <v>941</v>
      </c>
      <c r="H169" s="75" t="s">
        <v>962</v>
      </c>
      <c r="I169" s="81" t="s">
        <v>971</v>
      </c>
    </row>
    <row r="170" spans="1:9" ht="129.6" x14ac:dyDescent="0.3">
      <c r="A170" s="37" t="s">
        <v>115</v>
      </c>
      <c r="B170" s="46"/>
      <c r="C170" s="46"/>
      <c r="D170" s="46"/>
      <c r="E170" s="61" t="s">
        <v>797</v>
      </c>
      <c r="F170" s="60" t="s">
        <v>773</v>
      </c>
      <c r="G170" s="41" t="s">
        <v>941</v>
      </c>
      <c r="H170" s="75" t="s">
        <v>962</v>
      </c>
      <c r="I170" s="81" t="s">
        <v>971</v>
      </c>
    </row>
    <row r="171" spans="1:9" ht="115.2" x14ac:dyDescent="0.3">
      <c r="A171" s="37" t="s">
        <v>116</v>
      </c>
      <c r="B171" s="46"/>
      <c r="C171" s="46"/>
      <c r="D171" s="46"/>
      <c r="E171" s="61" t="s">
        <v>798</v>
      </c>
      <c r="F171" s="60" t="s">
        <v>773</v>
      </c>
      <c r="G171" s="41" t="s">
        <v>941</v>
      </c>
      <c r="H171" s="75" t="s">
        <v>962</v>
      </c>
      <c r="I171" s="84" t="s">
        <v>971</v>
      </c>
    </row>
    <row r="172" spans="1:9" ht="129.6" x14ac:dyDescent="0.3">
      <c r="A172" s="37" t="s">
        <v>118</v>
      </c>
      <c r="B172" s="46"/>
      <c r="C172" s="46"/>
      <c r="D172" s="46"/>
      <c r="E172" s="61" t="s">
        <v>800</v>
      </c>
      <c r="F172" s="60" t="s">
        <v>773</v>
      </c>
      <c r="G172" s="41" t="s">
        <v>941</v>
      </c>
      <c r="H172" s="75" t="s">
        <v>962</v>
      </c>
      <c r="I172" s="81" t="s">
        <v>971</v>
      </c>
    </row>
    <row r="173" spans="1:9" ht="144" x14ac:dyDescent="0.3">
      <c r="A173" s="37" t="s">
        <v>119</v>
      </c>
      <c r="B173" s="46"/>
      <c r="C173" s="46"/>
      <c r="D173" s="46"/>
      <c r="E173" s="61" t="s">
        <v>801</v>
      </c>
      <c r="F173" s="60" t="s">
        <v>773</v>
      </c>
      <c r="G173" s="41" t="s">
        <v>941</v>
      </c>
      <c r="H173" s="75" t="s">
        <v>962</v>
      </c>
      <c r="I173" s="81" t="s">
        <v>971</v>
      </c>
    </row>
    <row r="174" spans="1:9" ht="187.2" x14ac:dyDescent="0.3">
      <c r="A174" s="37" t="s">
        <v>120</v>
      </c>
      <c r="B174" s="46"/>
      <c r="C174" s="46"/>
      <c r="D174" s="46"/>
      <c r="E174" s="61" t="s">
        <v>802</v>
      </c>
      <c r="F174" s="60" t="s">
        <v>771</v>
      </c>
      <c r="G174" s="41" t="s">
        <v>941</v>
      </c>
      <c r="H174" s="75" t="s">
        <v>962</v>
      </c>
      <c r="I174" s="81" t="s">
        <v>971</v>
      </c>
    </row>
    <row r="175" spans="1:9" ht="129.6" x14ac:dyDescent="0.3">
      <c r="A175" s="37" t="s">
        <v>122</v>
      </c>
      <c r="B175" s="46"/>
      <c r="C175" s="46"/>
      <c r="D175" s="46"/>
      <c r="E175" s="61" t="s">
        <v>804</v>
      </c>
      <c r="F175" s="60" t="s">
        <v>773</v>
      </c>
      <c r="G175" s="41" t="s">
        <v>941</v>
      </c>
      <c r="H175" s="75" t="s">
        <v>962</v>
      </c>
      <c r="I175" s="81" t="s">
        <v>971</v>
      </c>
    </row>
    <row r="176" spans="1:9" ht="57.6" x14ac:dyDescent="0.3">
      <c r="A176" s="37" t="s">
        <v>123</v>
      </c>
      <c r="B176" s="46"/>
      <c r="C176" s="46"/>
      <c r="D176" s="46"/>
      <c r="E176" s="61" t="s">
        <v>805</v>
      </c>
      <c r="F176" s="60" t="s">
        <v>773</v>
      </c>
      <c r="G176" s="41" t="s">
        <v>941</v>
      </c>
      <c r="H176" s="76" t="s">
        <v>962</v>
      </c>
      <c r="I176" s="81" t="s">
        <v>971</v>
      </c>
    </row>
    <row r="177" spans="1:9" ht="187.2" x14ac:dyDescent="0.3">
      <c r="A177" s="37" t="s">
        <v>1109</v>
      </c>
      <c r="B177" s="45"/>
      <c r="C177" s="45"/>
      <c r="D177" s="45"/>
      <c r="E177" s="65" t="s">
        <v>806</v>
      </c>
      <c r="F177" s="59" t="s">
        <v>773</v>
      </c>
      <c r="G177" s="73"/>
      <c r="H177" s="75" t="s">
        <v>962</v>
      </c>
      <c r="I177" s="85" t="s">
        <v>971</v>
      </c>
    </row>
    <row r="178" spans="1:9" ht="100.8" x14ac:dyDescent="0.3">
      <c r="A178" s="37" t="s">
        <v>124</v>
      </c>
      <c r="B178" s="46"/>
      <c r="C178" s="46"/>
      <c r="D178" s="46"/>
      <c r="E178" s="61" t="s">
        <v>807</v>
      </c>
      <c r="F178" s="60" t="s">
        <v>771</v>
      </c>
      <c r="G178" s="41" t="s">
        <v>941</v>
      </c>
      <c r="H178" s="75" t="s">
        <v>962</v>
      </c>
      <c r="I178" s="81" t="s">
        <v>971</v>
      </c>
    </row>
    <row r="179" spans="1:9" ht="144" x14ac:dyDescent="0.3">
      <c r="A179" s="37" t="s">
        <v>125</v>
      </c>
      <c r="B179" s="46"/>
      <c r="C179" s="46"/>
      <c r="D179" s="46"/>
      <c r="E179" s="61" t="s">
        <v>808</v>
      </c>
      <c r="F179" s="60" t="s">
        <v>773</v>
      </c>
      <c r="G179" s="41" t="s">
        <v>941</v>
      </c>
      <c r="H179" s="75" t="s">
        <v>962</v>
      </c>
      <c r="I179" s="81" t="s">
        <v>971</v>
      </c>
    </row>
    <row r="180" spans="1:9" ht="172.8" x14ac:dyDescent="0.3">
      <c r="A180" s="37" t="s">
        <v>126</v>
      </c>
      <c r="B180" s="46"/>
      <c r="C180" s="46"/>
      <c r="D180" s="46"/>
      <c r="E180" s="61" t="s">
        <v>809</v>
      </c>
      <c r="F180" s="60" t="s">
        <v>773</v>
      </c>
      <c r="G180" s="41" t="s">
        <v>941</v>
      </c>
      <c r="H180" s="75" t="s">
        <v>962</v>
      </c>
      <c r="I180" s="81" t="s">
        <v>971</v>
      </c>
    </row>
    <row r="181" spans="1:9" ht="129.6" x14ac:dyDescent="0.3">
      <c r="A181" s="37" t="s">
        <v>127</v>
      </c>
      <c r="B181" s="46"/>
      <c r="C181" s="46"/>
      <c r="D181" s="46"/>
      <c r="E181" s="61" t="s">
        <v>810</v>
      </c>
      <c r="F181" s="60" t="s">
        <v>771</v>
      </c>
      <c r="G181" s="41" t="s">
        <v>941</v>
      </c>
      <c r="H181" s="75" t="s">
        <v>962</v>
      </c>
      <c r="I181" s="81" t="s">
        <v>971</v>
      </c>
    </row>
    <row r="182" spans="1:9" ht="172.8" x14ac:dyDescent="0.3">
      <c r="A182" s="37" t="s">
        <v>128</v>
      </c>
      <c r="B182" s="46"/>
      <c r="C182" s="46"/>
      <c r="D182" s="46"/>
      <c r="E182" s="61" t="s">
        <v>811</v>
      </c>
      <c r="F182" s="60" t="s">
        <v>771</v>
      </c>
      <c r="G182" s="41" t="s">
        <v>941</v>
      </c>
      <c r="H182" s="75" t="s">
        <v>962</v>
      </c>
      <c r="I182" s="81" t="s">
        <v>971</v>
      </c>
    </row>
    <row r="183" spans="1:9" ht="158.4" x14ac:dyDescent="0.3">
      <c r="A183" s="37" t="s">
        <v>131</v>
      </c>
      <c r="B183" s="46"/>
      <c r="C183" s="46"/>
      <c r="D183" s="46"/>
      <c r="E183" s="61" t="s">
        <v>814</v>
      </c>
      <c r="F183" s="60" t="s">
        <v>773</v>
      </c>
      <c r="G183" s="41" t="s">
        <v>941</v>
      </c>
      <c r="H183" s="75" t="s">
        <v>962</v>
      </c>
      <c r="I183" s="81" t="s">
        <v>971</v>
      </c>
    </row>
    <row r="184" spans="1:9" ht="115.2" x14ac:dyDescent="0.3">
      <c r="A184" s="37" t="s">
        <v>133</v>
      </c>
      <c r="B184" s="46"/>
      <c r="C184" s="46"/>
      <c r="D184" s="46"/>
      <c r="E184" s="61" t="s">
        <v>816</v>
      </c>
      <c r="F184" s="60" t="s">
        <v>771</v>
      </c>
      <c r="G184" s="41" t="s">
        <v>941</v>
      </c>
      <c r="H184" s="75" t="s">
        <v>962</v>
      </c>
      <c r="I184" s="81" t="s">
        <v>971</v>
      </c>
    </row>
    <row r="185" spans="1:9" ht="57.6" x14ac:dyDescent="0.3">
      <c r="A185" s="37" t="s">
        <v>134</v>
      </c>
      <c r="B185" s="46"/>
      <c r="C185" s="46"/>
      <c r="D185" s="46"/>
      <c r="E185" s="61" t="s">
        <v>817</v>
      </c>
      <c r="F185" s="60" t="s">
        <v>773</v>
      </c>
      <c r="G185" s="41" t="s">
        <v>941</v>
      </c>
      <c r="H185" s="75" t="s">
        <v>962</v>
      </c>
      <c r="I185" s="81" t="s">
        <v>971</v>
      </c>
    </row>
    <row r="186" spans="1:9" ht="129.6" x14ac:dyDescent="0.3">
      <c r="A186" s="37" t="s">
        <v>135</v>
      </c>
      <c r="B186" s="46"/>
      <c r="C186" s="46"/>
      <c r="D186" s="46"/>
      <c r="E186" s="61" t="s">
        <v>818</v>
      </c>
      <c r="F186" s="60" t="s">
        <v>771</v>
      </c>
      <c r="G186" s="41" t="s">
        <v>941</v>
      </c>
      <c r="H186" s="75" t="s">
        <v>962</v>
      </c>
      <c r="I186" s="81" t="s">
        <v>971</v>
      </c>
    </row>
    <row r="187" spans="1:9" ht="86.4" x14ac:dyDescent="0.3">
      <c r="A187" s="37" t="s">
        <v>136</v>
      </c>
      <c r="B187" s="46"/>
      <c r="C187" s="46"/>
      <c r="D187" s="46"/>
      <c r="E187" s="61" t="s">
        <v>819</v>
      </c>
      <c r="F187" s="60" t="s">
        <v>773</v>
      </c>
      <c r="G187" s="41" t="s">
        <v>941</v>
      </c>
      <c r="H187" s="75" t="s">
        <v>962</v>
      </c>
      <c r="I187" s="81" t="s">
        <v>971</v>
      </c>
    </row>
    <row r="188" spans="1:9" ht="129.6" x14ac:dyDescent="0.3">
      <c r="A188" s="37" t="s">
        <v>137</v>
      </c>
      <c r="B188" s="46"/>
      <c r="C188" s="46"/>
      <c r="D188" s="46"/>
      <c r="E188" s="61" t="s">
        <v>820</v>
      </c>
      <c r="F188" s="60" t="s">
        <v>773</v>
      </c>
      <c r="G188" s="41" t="s">
        <v>941</v>
      </c>
      <c r="H188" s="75" t="s">
        <v>962</v>
      </c>
      <c r="I188" s="81" t="s">
        <v>971</v>
      </c>
    </row>
    <row r="189" spans="1:9" ht="100.8" x14ac:dyDescent="0.3">
      <c r="A189" s="37" t="s">
        <v>138</v>
      </c>
      <c r="B189" s="46"/>
      <c r="C189" s="46"/>
      <c r="D189" s="46"/>
      <c r="E189" s="61" t="s">
        <v>821</v>
      </c>
      <c r="F189" s="60" t="s">
        <v>773</v>
      </c>
      <c r="G189" s="41" t="s">
        <v>941</v>
      </c>
      <c r="H189" s="75" t="s">
        <v>962</v>
      </c>
      <c r="I189" s="81" t="s">
        <v>971</v>
      </c>
    </row>
    <row r="190" spans="1:9" ht="259.2" x14ac:dyDescent="0.3">
      <c r="A190" s="37" t="s">
        <v>142</v>
      </c>
      <c r="B190" s="46"/>
      <c r="C190" s="46"/>
      <c r="D190" s="46"/>
      <c r="E190" s="65" t="s">
        <v>825</v>
      </c>
      <c r="F190" s="60" t="s">
        <v>773</v>
      </c>
      <c r="G190" s="41" t="s">
        <v>943</v>
      </c>
      <c r="H190" s="75" t="s">
        <v>962</v>
      </c>
      <c r="I190" s="81" t="s">
        <v>971</v>
      </c>
    </row>
    <row r="191" spans="1:9" ht="172.8" x14ac:dyDescent="0.3">
      <c r="A191" s="37" t="s">
        <v>143</v>
      </c>
      <c r="B191" s="46"/>
      <c r="C191" s="46"/>
      <c r="D191" s="46"/>
      <c r="E191" s="65" t="s">
        <v>826</v>
      </c>
      <c r="F191" s="60" t="s">
        <v>773</v>
      </c>
      <c r="G191" s="41" t="s">
        <v>941</v>
      </c>
      <c r="H191" s="75" t="s">
        <v>962</v>
      </c>
      <c r="I191" s="81" t="s">
        <v>971</v>
      </c>
    </row>
    <row r="192" spans="1:9" ht="259.2" x14ac:dyDescent="0.3">
      <c r="A192" s="37" t="s">
        <v>144</v>
      </c>
      <c r="B192" s="46"/>
      <c r="C192" s="46"/>
      <c r="D192" s="46"/>
      <c r="E192" s="65" t="s">
        <v>827</v>
      </c>
      <c r="F192" s="60" t="s">
        <v>773</v>
      </c>
      <c r="G192" s="41" t="s">
        <v>941</v>
      </c>
      <c r="H192" s="75" t="s">
        <v>962</v>
      </c>
      <c r="I192" s="81" t="s">
        <v>971</v>
      </c>
    </row>
    <row r="193" spans="1:9" ht="100.8" x14ac:dyDescent="0.3">
      <c r="A193" s="37" t="s">
        <v>145</v>
      </c>
      <c r="B193" s="46"/>
      <c r="C193" s="46"/>
      <c r="D193" s="46"/>
      <c r="E193" s="65" t="s">
        <v>828</v>
      </c>
      <c r="F193" s="60" t="s">
        <v>773</v>
      </c>
      <c r="G193" s="41" t="s">
        <v>943</v>
      </c>
      <c r="H193" s="75" t="s">
        <v>962</v>
      </c>
      <c r="I193" s="81" t="s">
        <v>971</v>
      </c>
    </row>
    <row r="194" spans="1:9" ht="100.8" x14ac:dyDescent="0.3">
      <c r="A194" s="37" t="s">
        <v>146</v>
      </c>
      <c r="B194" s="46"/>
      <c r="C194" s="46"/>
      <c r="D194" s="46"/>
      <c r="E194" s="65" t="s">
        <v>829</v>
      </c>
      <c r="F194" s="60" t="s">
        <v>773</v>
      </c>
      <c r="G194" s="41" t="s">
        <v>943</v>
      </c>
      <c r="H194" s="75" t="s">
        <v>962</v>
      </c>
      <c r="I194" s="81" t="s">
        <v>971</v>
      </c>
    </row>
    <row r="195" spans="1:9" ht="144" x14ac:dyDescent="0.3">
      <c r="A195" s="37" t="s">
        <v>147</v>
      </c>
      <c r="B195" s="46"/>
      <c r="C195" s="46"/>
      <c r="D195" s="46"/>
      <c r="E195" s="65" t="s">
        <v>830</v>
      </c>
      <c r="F195" s="60" t="s">
        <v>773</v>
      </c>
      <c r="G195" s="41" t="s">
        <v>943</v>
      </c>
      <c r="H195" s="70" t="s">
        <v>962</v>
      </c>
      <c r="I195" s="81" t="s">
        <v>971</v>
      </c>
    </row>
    <row r="196" spans="1:9" ht="172.8" x14ac:dyDescent="0.3">
      <c r="A196" s="37" t="s">
        <v>149</v>
      </c>
      <c r="B196" s="46"/>
      <c r="C196" s="46"/>
      <c r="D196" s="46"/>
      <c r="E196" s="65" t="s">
        <v>833</v>
      </c>
      <c r="F196" s="60" t="s">
        <v>771</v>
      </c>
      <c r="G196" s="41" t="s">
        <v>941</v>
      </c>
      <c r="H196" s="70" t="s">
        <v>962</v>
      </c>
      <c r="I196" s="81" t="s">
        <v>971</v>
      </c>
    </row>
    <row r="197" spans="1:9" ht="129.6" x14ac:dyDescent="0.3">
      <c r="A197" s="37" t="s">
        <v>150</v>
      </c>
      <c r="B197" s="46"/>
      <c r="C197" s="46"/>
      <c r="D197" s="46"/>
      <c r="E197" s="65" t="s">
        <v>834</v>
      </c>
      <c r="F197" s="60" t="s">
        <v>771</v>
      </c>
      <c r="G197" s="41" t="s">
        <v>941</v>
      </c>
      <c r="H197" s="70" t="s">
        <v>962</v>
      </c>
      <c r="I197" s="81" t="s">
        <v>971</v>
      </c>
    </row>
    <row r="198" spans="1:9" ht="158.4" x14ac:dyDescent="0.3">
      <c r="A198" s="37" t="s">
        <v>151</v>
      </c>
      <c r="B198" s="46"/>
      <c r="C198" s="46"/>
      <c r="D198" s="46"/>
      <c r="E198" s="65" t="s">
        <v>835</v>
      </c>
      <c r="F198" s="60" t="s">
        <v>771</v>
      </c>
      <c r="G198" s="41" t="s">
        <v>941</v>
      </c>
      <c r="H198" s="70" t="s">
        <v>962</v>
      </c>
      <c r="I198" s="81" t="s">
        <v>971</v>
      </c>
    </row>
    <row r="199" spans="1:9" ht="129.6" x14ac:dyDescent="0.3">
      <c r="A199" s="37" t="s">
        <v>152</v>
      </c>
      <c r="B199" s="46"/>
      <c r="C199" s="46"/>
      <c r="D199" s="46"/>
      <c r="E199" s="65" t="s">
        <v>836</v>
      </c>
      <c r="F199" s="60" t="s">
        <v>771</v>
      </c>
      <c r="G199" s="41" t="s">
        <v>941</v>
      </c>
      <c r="H199" s="70" t="s">
        <v>962</v>
      </c>
      <c r="I199" s="81" t="s">
        <v>971</v>
      </c>
    </row>
    <row r="200" spans="1:9" ht="129.6" x14ac:dyDescent="0.3">
      <c r="A200" s="37" t="s">
        <v>153</v>
      </c>
      <c r="B200" s="46"/>
      <c r="C200" s="46"/>
      <c r="D200" s="46"/>
      <c r="E200" s="65" t="s">
        <v>837</v>
      </c>
      <c r="F200" s="60" t="s">
        <v>771</v>
      </c>
      <c r="G200" s="41" t="s">
        <v>941</v>
      </c>
      <c r="H200" s="70" t="s">
        <v>962</v>
      </c>
      <c r="I200" s="81" t="s">
        <v>971</v>
      </c>
    </row>
    <row r="201" spans="1:9" ht="158.4" x14ac:dyDescent="0.3">
      <c r="A201" s="37" t="s">
        <v>154</v>
      </c>
      <c r="B201" s="46"/>
      <c r="C201" s="46"/>
      <c r="D201" s="46"/>
      <c r="E201" s="65" t="s">
        <v>838</v>
      </c>
      <c r="F201" s="60" t="s">
        <v>771</v>
      </c>
      <c r="G201" s="41" t="s">
        <v>941</v>
      </c>
      <c r="H201" s="70" t="s">
        <v>962</v>
      </c>
      <c r="I201" s="81" t="s">
        <v>971</v>
      </c>
    </row>
    <row r="202" spans="1:9" ht="172.8" x14ac:dyDescent="0.3">
      <c r="A202" s="37" t="s">
        <v>155</v>
      </c>
      <c r="B202" s="46"/>
      <c r="C202" s="46"/>
      <c r="D202" s="46"/>
      <c r="E202" s="65" t="s">
        <v>839</v>
      </c>
      <c r="F202" s="60" t="s">
        <v>771</v>
      </c>
      <c r="G202" s="41" t="s">
        <v>941</v>
      </c>
      <c r="H202" s="70" t="s">
        <v>962</v>
      </c>
      <c r="I202" s="81" t="s">
        <v>971</v>
      </c>
    </row>
    <row r="203" spans="1:9" ht="115.2" x14ac:dyDescent="0.3">
      <c r="A203" s="37" t="s">
        <v>156</v>
      </c>
      <c r="B203" s="46"/>
      <c r="C203" s="46"/>
      <c r="D203" s="46"/>
      <c r="E203" s="65" t="s">
        <v>840</v>
      </c>
      <c r="F203" s="60" t="s">
        <v>771</v>
      </c>
      <c r="G203" s="41" t="s">
        <v>941</v>
      </c>
      <c r="H203" s="70" t="s">
        <v>962</v>
      </c>
      <c r="I203" s="81" t="s">
        <v>971</v>
      </c>
    </row>
    <row r="204" spans="1:9" ht="100.8" x14ac:dyDescent="0.3">
      <c r="A204" s="37" t="s">
        <v>157</v>
      </c>
      <c r="B204" s="46"/>
      <c r="C204" s="46"/>
      <c r="D204" s="46"/>
      <c r="E204" s="65" t="s">
        <v>841</v>
      </c>
      <c r="F204" s="60" t="s">
        <v>771</v>
      </c>
      <c r="G204" s="41" t="s">
        <v>941</v>
      </c>
      <c r="H204" s="70" t="s">
        <v>962</v>
      </c>
      <c r="I204" s="81" t="s">
        <v>971</v>
      </c>
    </row>
    <row r="205" spans="1:9" ht="129.6" x14ac:dyDescent="0.3">
      <c r="A205" s="37" t="s">
        <v>158</v>
      </c>
      <c r="B205" s="46"/>
      <c r="C205" s="46"/>
      <c r="D205" s="46"/>
      <c r="E205" s="65" t="s">
        <v>842</v>
      </c>
      <c r="F205" s="60" t="s">
        <v>771</v>
      </c>
      <c r="G205" s="41" t="s">
        <v>941</v>
      </c>
      <c r="H205" s="70" t="s">
        <v>962</v>
      </c>
      <c r="I205" s="81" t="s">
        <v>971</v>
      </c>
    </row>
    <row r="206" spans="1:9" ht="244.8" x14ac:dyDescent="0.3">
      <c r="A206" s="37" t="s">
        <v>162</v>
      </c>
      <c r="B206" s="46"/>
      <c r="C206" s="46"/>
      <c r="D206" s="46"/>
      <c r="E206" s="65" t="s">
        <v>846</v>
      </c>
      <c r="F206" s="60" t="s">
        <v>771</v>
      </c>
      <c r="G206" s="41" t="s">
        <v>941</v>
      </c>
      <c r="H206" s="70" t="s">
        <v>962</v>
      </c>
      <c r="I206" s="81" t="s">
        <v>971</v>
      </c>
    </row>
    <row r="207" spans="1:9" ht="100.8" x14ac:dyDescent="0.3">
      <c r="A207" s="37" t="s">
        <v>164</v>
      </c>
      <c r="B207" s="46"/>
      <c r="C207" s="46"/>
      <c r="D207" s="46"/>
      <c r="E207" s="65" t="s">
        <v>848</v>
      </c>
      <c r="F207" s="60" t="s">
        <v>773</v>
      </c>
      <c r="G207" s="41" t="s">
        <v>941</v>
      </c>
      <c r="H207" s="70" t="s">
        <v>962</v>
      </c>
      <c r="I207" s="81" t="s">
        <v>971</v>
      </c>
    </row>
    <row r="208" spans="1:9" ht="129.6" x14ac:dyDescent="0.3">
      <c r="A208" s="37" t="s">
        <v>165</v>
      </c>
      <c r="B208" s="46"/>
      <c r="C208" s="46"/>
      <c r="D208" s="46"/>
      <c r="E208" s="65" t="s">
        <v>849</v>
      </c>
      <c r="F208" s="60" t="s">
        <v>771</v>
      </c>
      <c r="G208" s="41" t="s">
        <v>941</v>
      </c>
      <c r="H208" s="70" t="s">
        <v>962</v>
      </c>
      <c r="I208" s="81" t="s">
        <v>971</v>
      </c>
    </row>
    <row r="209" spans="1:9" ht="172.8" x14ac:dyDescent="0.3">
      <c r="A209" s="37" t="s">
        <v>166</v>
      </c>
      <c r="B209" s="46"/>
      <c r="C209" s="46"/>
      <c r="D209" s="46"/>
      <c r="E209" s="65" t="s">
        <v>850</v>
      </c>
      <c r="F209" s="60" t="s">
        <v>771</v>
      </c>
      <c r="G209" s="41" t="s">
        <v>941</v>
      </c>
      <c r="H209" s="70" t="s">
        <v>962</v>
      </c>
      <c r="I209" s="81" t="s">
        <v>971</v>
      </c>
    </row>
    <row r="210" spans="1:9" ht="316.8" x14ac:dyDescent="0.3">
      <c r="A210" s="37" t="s">
        <v>167</v>
      </c>
      <c r="B210" s="46"/>
      <c r="C210" s="46"/>
      <c r="D210" s="46"/>
      <c r="E210" s="65" t="s">
        <v>851</v>
      </c>
      <c r="F210" s="60" t="s">
        <v>771</v>
      </c>
      <c r="G210" s="41" t="s">
        <v>941</v>
      </c>
      <c r="H210" s="70" t="s">
        <v>962</v>
      </c>
      <c r="I210" s="81" t="s">
        <v>971</v>
      </c>
    </row>
    <row r="211" spans="1:9" ht="201.6" x14ac:dyDescent="0.3">
      <c r="A211" s="37" t="s">
        <v>168</v>
      </c>
      <c r="B211" s="46"/>
      <c r="C211" s="46"/>
      <c r="D211" s="46"/>
      <c r="E211" s="65" t="s">
        <v>852</v>
      </c>
      <c r="F211" s="60" t="s">
        <v>773</v>
      </c>
      <c r="G211" s="41" t="s">
        <v>943</v>
      </c>
      <c r="H211" s="70" t="s">
        <v>962</v>
      </c>
      <c r="I211" s="81" t="s">
        <v>971</v>
      </c>
    </row>
    <row r="212" spans="1:9" ht="100.8" x14ac:dyDescent="0.3">
      <c r="A212" s="37" t="s">
        <v>169</v>
      </c>
      <c r="B212" s="46"/>
      <c r="C212" s="46"/>
      <c r="D212" s="46"/>
      <c r="E212" s="65" t="s">
        <v>853</v>
      </c>
      <c r="F212" s="60" t="s">
        <v>773</v>
      </c>
      <c r="G212" s="41" t="s">
        <v>943</v>
      </c>
      <c r="H212" s="70" t="s">
        <v>962</v>
      </c>
      <c r="I212" s="81" t="s">
        <v>971</v>
      </c>
    </row>
    <row r="213" spans="1:9" ht="129.6" x14ac:dyDescent="0.3">
      <c r="A213" s="37" t="s">
        <v>170</v>
      </c>
      <c r="B213" s="46"/>
      <c r="C213" s="46"/>
      <c r="D213" s="46"/>
      <c r="E213" s="65" t="s">
        <v>854</v>
      </c>
      <c r="F213" s="60" t="s">
        <v>773</v>
      </c>
      <c r="G213" s="41" t="s">
        <v>943</v>
      </c>
      <c r="H213" s="70" t="s">
        <v>962</v>
      </c>
      <c r="I213" s="81" t="s">
        <v>971</v>
      </c>
    </row>
    <row r="214" spans="1:9" ht="216" x14ac:dyDescent="0.3">
      <c r="A214" s="37" t="s">
        <v>171</v>
      </c>
      <c r="B214" s="46"/>
      <c r="C214" s="46"/>
      <c r="D214" s="46"/>
      <c r="E214" s="65" t="s">
        <v>855</v>
      </c>
      <c r="F214" s="60" t="s">
        <v>773</v>
      </c>
      <c r="G214" s="41" t="s">
        <v>943</v>
      </c>
      <c r="H214" s="70" t="s">
        <v>962</v>
      </c>
      <c r="I214" s="81" t="s">
        <v>971</v>
      </c>
    </row>
    <row r="215" spans="1:9" ht="115.2" x14ac:dyDescent="0.3">
      <c r="A215" s="37" t="s">
        <v>172</v>
      </c>
      <c r="B215" s="46"/>
      <c r="C215" s="46"/>
      <c r="D215" s="46"/>
      <c r="E215" s="65" t="s">
        <v>856</v>
      </c>
      <c r="F215" s="60" t="s">
        <v>773</v>
      </c>
      <c r="G215" s="41" t="s">
        <v>943</v>
      </c>
      <c r="H215" s="70" t="s">
        <v>962</v>
      </c>
      <c r="I215" s="81" t="s">
        <v>971</v>
      </c>
    </row>
    <row r="216" spans="1:9" ht="201.6" x14ac:dyDescent="0.3">
      <c r="A216" s="37" t="s">
        <v>173</v>
      </c>
      <c r="B216" s="46"/>
      <c r="C216" s="46"/>
      <c r="D216" s="46"/>
      <c r="E216" s="65" t="s">
        <v>857</v>
      </c>
      <c r="F216" s="60" t="s">
        <v>771</v>
      </c>
      <c r="G216" s="41" t="s">
        <v>941</v>
      </c>
      <c r="H216" s="70" t="s">
        <v>962</v>
      </c>
      <c r="I216" s="81" t="s">
        <v>971</v>
      </c>
    </row>
    <row r="217" spans="1:9" ht="158.4" x14ac:dyDescent="0.3">
      <c r="A217" s="37" t="s">
        <v>174</v>
      </c>
      <c r="B217" s="46"/>
      <c r="C217" s="46"/>
      <c r="D217" s="46"/>
      <c r="E217" s="65" t="s">
        <v>858</v>
      </c>
      <c r="F217" s="60" t="s">
        <v>771</v>
      </c>
      <c r="G217" s="41" t="s">
        <v>941</v>
      </c>
      <c r="H217" s="70" t="s">
        <v>962</v>
      </c>
      <c r="I217" s="81" t="s">
        <v>971</v>
      </c>
    </row>
    <row r="218" spans="1:9" ht="158.4" x14ac:dyDescent="0.3">
      <c r="A218" s="37" t="s">
        <v>175</v>
      </c>
      <c r="B218" s="46"/>
      <c r="C218" s="46"/>
      <c r="D218" s="46"/>
      <c r="E218" s="65" t="s">
        <v>859</v>
      </c>
      <c r="F218" s="60" t="s">
        <v>771</v>
      </c>
      <c r="G218" s="41" t="s">
        <v>941</v>
      </c>
      <c r="H218" s="70" t="s">
        <v>962</v>
      </c>
      <c r="I218" s="81" t="s">
        <v>971</v>
      </c>
    </row>
    <row r="219" spans="1:9" ht="86.4" x14ac:dyDescent="0.3">
      <c r="A219" s="37" t="s">
        <v>176</v>
      </c>
      <c r="B219" s="46"/>
      <c r="C219" s="46"/>
      <c r="D219" s="46"/>
      <c r="E219" s="65" t="s">
        <v>860</v>
      </c>
      <c r="F219" s="60" t="s">
        <v>771</v>
      </c>
      <c r="G219" s="41" t="s">
        <v>941</v>
      </c>
      <c r="H219" s="70" t="s">
        <v>962</v>
      </c>
      <c r="I219" s="81" t="s">
        <v>971</v>
      </c>
    </row>
    <row r="220" spans="1:9" ht="201.6" x14ac:dyDescent="0.3">
      <c r="A220" s="37" t="s">
        <v>177</v>
      </c>
      <c r="B220" s="46"/>
      <c r="C220" s="46"/>
      <c r="D220" s="46"/>
      <c r="E220" s="65" t="s">
        <v>861</v>
      </c>
      <c r="F220" s="60" t="s">
        <v>773</v>
      </c>
      <c r="G220" s="41" t="s">
        <v>943</v>
      </c>
      <c r="H220" s="70" t="s">
        <v>962</v>
      </c>
      <c r="I220" s="81" t="s">
        <v>971</v>
      </c>
    </row>
    <row r="221" spans="1:9" ht="129.6" x14ac:dyDescent="0.3">
      <c r="A221" s="37" t="s">
        <v>178</v>
      </c>
      <c r="B221" s="46"/>
      <c r="C221" s="46"/>
      <c r="D221" s="46"/>
      <c r="E221" s="65" t="s">
        <v>862</v>
      </c>
      <c r="F221" s="60" t="s">
        <v>771</v>
      </c>
      <c r="G221" s="41" t="s">
        <v>941</v>
      </c>
      <c r="H221" s="70" t="s">
        <v>962</v>
      </c>
      <c r="I221" s="81" t="s">
        <v>971</v>
      </c>
    </row>
    <row r="222" spans="1:9" ht="86.4" x14ac:dyDescent="0.3">
      <c r="A222" s="37" t="s">
        <v>179</v>
      </c>
      <c r="B222" s="46"/>
      <c r="C222" s="46"/>
      <c r="D222" s="46"/>
      <c r="E222" s="65" t="s">
        <v>863</v>
      </c>
      <c r="F222" s="60" t="s">
        <v>771</v>
      </c>
      <c r="G222" s="41" t="s">
        <v>941</v>
      </c>
      <c r="H222" s="70" t="s">
        <v>962</v>
      </c>
      <c r="I222" s="81" t="s">
        <v>971</v>
      </c>
    </row>
    <row r="223" spans="1:9" ht="129.6" x14ac:dyDescent="0.3">
      <c r="A223" s="37" t="s">
        <v>181</v>
      </c>
      <c r="B223" s="46"/>
      <c r="C223" s="46"/>
      <c r="D223" s="46"/>
      <c r="E223" s="65" t="s">
        <v>865</v>
      </c>
      <c r="F223" s="60" t="s">
        <v>771</v>
      </c>
      <c r="G223" s="41" t="s">
        <v>941</v>
      </c>
      <c r="H223" s="70" t="s">
        <v>962</v>
      </c>
      <c r="I223" s="81" t="s">
        <v>971</v>
      </c>
    </row>
    <row r="224" spans="1:9" ht="172.8" x14ac:dyDescent="0.3">
      <c r="A224" s="37" t="s">
        <v>182</v>
      </c>
      <c r="B224" s="46"/>
      <c r="C224" s="46"/>
      <c r="D224" s="46"/>
      <c r="E224" s="65" t="s">
        <v>866</v>
      </c>
      <c r="F224" s="60" t="s">
        <v>771</v>
      </c>
      <c r="G224" s="41" t="s">
        <v>941</v>
      </c>
      <c r="H224" s="70" t="s">
        <v>962</v>
      </c>
      <c r="I224" s="81" t="s">
        <v>971</v>
      </c>
    </row>
  </sheetData>
  <autoFilter ref="A1:I224"/>
  <conditionalFormatting sqref="A2:A224">
    <cfRule type="duplicateValues" dxfId="1" priority="31"/>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A3" zoomScale="83" workbookViewId="0">
      <selection activeCell="F13" sqref="F13"/>
    </sheetView>
  </sheetViews>
  <sheetFormatPr baseColWidth="10" defaultRowHeight="14.4" x14ac:dyDescent="0.3"/>
  <cols>
    <col min="5" max="5" width="30.21875" customWidth="1"/>
    <col min="6" max="6" width="72.6640625" customWidth="1"/>
    <col min="8" max="8" width="13.5546875" customWidth="1"/>
  </cols>
  <sheetData>
    <row r="1" spans="1:9" ht="28.8" x14ac:dyDescent="0.3">
      <c r="A1" s="32" t="s">
        <v>68</v>
      </c>
      <c r="B1" s="32" t="s">
        <v>229</v>
      </c>
      <c r="C1" s="51" t="s">
        <v>269</v>
      </c>
      <c r="D1" s="51" t="s">
        <v>270</v>
      </c>
      <c r="E1" s="51" t="s">
        <v>271</v>
      </c>
      <c r="F1" s="51" t="s">
        <v>272</v>
      </c>
      <c r="G1" s="51" t="s">
        <v>940</v>
      </c>
      <c r="H1" s="51" t="s">
        <v>946</v>
      </c>
      <c r="I1" s="51" t="s">
        <v>970</v>
      </c>
    </row>
    <row r="2" spans="1:9" ht="28.8" x14ac:dyDescent="0.3">
      <c r="A2" s="33" t="s">
        <v>1103</v>
      </c>
      <c r="B2" s="2" t="s">
        <v>256</v>
      </c>
      <c r="C2" s="2" t="s">
        <v>627</v>
      </c>
      <c r="D2" s="2" t="s">
        <v>350</v>
      </c>
      <c r="E2" s="14" t="s">
        <v>642</v>
      </c>
      <c r="F2" s="14" t="s">
        <v>643</v>
      </c>
      <c r="G2" s="2" t="s">
        <v>941</v>
      </c>
      <c r="H2" s="53" t="s">
        <v>963</v>
      </c>
      <c r="I2" s="81" t="s">
        <v>975</v>
      </c>
    </row>
    <row r="3" spans="1:9" ht="28.8" x14ac:dyDescent="0.3">
      <c r="A3" s="37" t="s">
        <v>77</v>
      </c>
      <c r="B3" s="46"/>
      <c r="C3" s="46"/>
      <c r="D3" s="46"/>
      <c r="E3" s="61" t="s">
        <v>755</v>
      </c>
      <c r="F3" s="60"/>
      <c r="G3" s="2"/>
      <c r="H3" s="77" t="s">
        <v>967</v>
      </c>
      <c r="I3" s="81"/>
    </row>
    <row r="4" spans="1:9" ht="28.8" x14ac:dyDescent="0.3">
      <c r="A4" s="37" t="s">
        <v>78</v>
      </c>
      <c r="B4" s="46"/>
      <c r="C4" s="46"/>
      <c r="D4" s="46"/>
      <c r="E4" s="61" t="s">
        <v>756</v>
      </c>
      <c r="F4" s="60"/>
      <c r="G4" s="2" t="s">
        <v>941</v>
      </c>
      <c r="H4" s="78" t="s">
        <v>967</v>
      </c>
      <c r="I4" s="81" t="s">
        <v>975</v>
      </c>
    </row>
    <row r="5" spans="1:9" ht="28.8" x14ac:dyDescent="0.3">
      <c r="A5" s="37" t="s">
        <v>81</v>
      </c>
      <c r="B5" s="46"/>
      <c r="C5" s="46"/>
      <c r="D5" s="46"/>
      <c r="E5" s="61" t="s">
        <v>761</v>
      </c>
      <c r="F5" s="60"/>
      <c r="G5" s="41"/>
      <c r="H5" s="79" t="s">
        <v>967</v>
      </c>
      <c r="I5" s="81"/>
    </row>
    <row r="6" spans="1:9" ht="57.6" x14ac:dyDescent="0.3">
      <c r="A6" s="37" t="s">
        <v>112</v>
      </c>
      <c r="B6" s="46"/>
      <c r="C6" s="46"/>
      <c r="D6" s="46"/>
      <c r="E6" s="61" t="s">
        <v>794</v>
      </c>
      <c r="F6" s="60" t="s">
        <v>773</v>
      </c>
      <c r="G6" s="41" t="s">
        <v>941</v>
      </c>
      <c r="H6" s="75" t="s">
        <v>968</v>
      </c>
      <c r="I6" s="81" t="s">
        <v>975</v>
      </c>
    </row>
    <row r="7" spans="1:9" ht="57.6" x14ac:dyDescent="0.3">
      <c r="A7" s="37" t="s">
        <v>121</v>
      </c>
      <c r="B7" s="46"/>
      <c r="C7" s="46"/>
      <c r="D7" s="46"/>
      <c r="E7" s="61" t="s">
        <v>803</v>
      </c>
      <c r="F7" s="60" t="s">
        <v>773</v>
      </c>
      <c r="G7" s="41" t="s">
        <v>941</v>
      </c>
      <c r="H7" s="75" t="s">
        <v>968</v>
      </c>
      <c r="I7" s="81" t="s">
        <v>975</v>
      </c>
    </row>
    <row r="8" spans="1:9" ht="72" x14ac:dyDescent="0.3">
      <c r="A8" s="37" t="s">
        <v>130</v>
      </c>
      <c r="B8" s="46"/>
      <c r="C8" s="46"/>
      <c r="D8" s="46"/>
      <c r="E8" s="61" t="s">
        <v>813</v>
      </c>
      <c r="F8" s="60" t="s">
        <v>773</v>
      </c>
      <c r="G8" s="41" t="s">
        <v>941</v>
      </c>
      <c r="H8" s="75" t="s">
        <v>968</v>
      </c>
      <c r="I8" s="81" t="s">
        <v>975</v>
      </c>
    </row>
    <row r="9" spans="1:9" ht="43.2" x14ac:dyDescent="0.3">
      <c r="A9" s="37" t="s">
        <v>132</v>
      </c>
      <c r="B9" s="46"/>
      <c r="C9" s="46"/>
      <c r="D9" s="46"/>
      <c r="E9" s="61" t="s">
        <v>815</v>
      </c>
      <c r="F9" s="60" t="s">
        <v>773</v>
      </c>
      <c r="G9" s="41" t="s">
        <v>941</v>
      </c>
      <c r="H9" s="75" t="s">
        <v>968</v>
      </c>
      <c r="I9" s="81" t="s">
        <v>975</v>
      </c>
    </row>
    <row r="10" spans="1:9" ht="86.4" x14ac:dyDescent="0.3">
      <c r="A10" s="37" t="s">
        <v>140</v>
      </c>
      <c r="B10" s="46"/>
      <c r="C10" s="46"/>
      <c r="D10" s="46"/>
      <c r="E10" s="61" t="s">
        <v>823</v>
      </c>
      <c r="F10" s="60" t="s">
        <v>773</v>
      </c>
      <c r="G10" s="41" t="s">
        <v>941</v>
      </c>
      <c r="H10" s="75" t="s">
        <v>968</v>
      </c>
      <c r="I10" s="81" t="s">
        <v>975</v>
      </c>
    </row>
  </sheetData>
  <autoFilter ref="A1:I10"/>
  <conditionalFormatting sqref="A2:A10">
    <cfRule type="duplicateValues" dxfId="0" priority="5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Cost &amp; Revenu</vt:lpstr>
      <vt:lpstr>Planning Event</vt:lpstr>
      <vt:lpstr>Planning V3</vt:lpstr>
      <vt:lpstr>Planning V2</vt:lpstr>
      <vt:lpstr>Détail Sprint </vt:lpstr>
      <vt:lpstr>Détail Réalisé</vt:lpstr>
      <vt:lpstr>Détail Amélio &amp; US Reporté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2026-09-07T08:14:34Z</dcterms:created>
  <dcterms:modified xsi:type="dcterms:W3CDTF">2026-09-23T11:06:20Z</dcterms:modified>
</cp:coreProperties>
</file>